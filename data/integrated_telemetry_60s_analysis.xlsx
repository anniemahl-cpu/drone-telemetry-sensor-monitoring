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a8122c5344e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grated_Data" sheetId="1" r:id="Reaf939d4a10348fa"/>
    <x:sheet xmlns:r="http://schemas.openxmlformats.org/officeDocument/2006/relationships" name="Summary" sheetId="2" r:id="R1519d2bfd68941e3"/>
    <x:sheet xmlns:r="http://schemas.openxmlformats.org/officeDocument/2006/relationships" name="Charts" sheetId="3" r:id="R4ae8f6ceb41048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7eacda98b54b51" /><Relationship Type="http://schemas.openxmlformats.org/officeDocument/2006/relationships/theme" Target="/xl/theme/theme1.xml" Id="Ra70ec5ca062b4582" /><Relationship Type="http://schemas.openxmlformats.org/officeDocument/2006/relationships/sharedStrings" Target="/xl/sharedStrings.xml" Id="R8811119abc7b4b05" /><Relationship Type="http://schemas.openxmlformats.org/officeDocument/2006/relationships/worksheet" Target="/xl/worksheets/sheet1.xml" Id="Reaf939d4a10348fa" /><Relationship Type="http://schemas.openxmlformats.org/officeDocument/2006/relationships/worksheet" Target="/xl/worksheets/sheet2.xml" Id="R1519d2bfd68941e3" /><Relationship Type="http://schemas.openxmlformats.org/officeDocument/2006/relationships/worksheet" Target="/xl/worksheets/sheet3.xml" Id="R4ae8f6ceb41048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c9c44704044492a" /><Relationship Type="http://schemas.openxmlformats.org/officeDocument/2006/relationships/chart" Target="/xl/drawings/charts/chart2.xml" Id="R6ce9b12a318043e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Acceleration Magnitude vs Time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accel_magnitude</c:v>
          </c:tx>
          <c:cat>
            <c:strRef>
              <c:f>'Charts'!$A$2:$A$124</c:f>
              <c:strCache>
                <c:ptCount val="0"/>
              </c:strCache>
            </c:strRef>
          </c:cat>
          <c:val>
            <c:numRef>
              <c:f>'Charts'!$B$2:$B$124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Time / s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</a:p>
          </c:txPr>
        </c:title>
        <c:numFmt formatCode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Acceleration Magnitude / m s^-2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</a:p>
          </c:txPr>
        </c:title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INA240 OUT Voltage vs Time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0.000</c:formatCode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Time / s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</a:p>
          </c:txPr>
        </c:title>
        <c:numFmt formatCode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INA240 OUT Voltage / V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</a:p>
          </c:txPr>
        </c:title>
        <c:numFmt formatCode="0.00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9c44704044492a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e9b12a318043e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tegratedTelemetryTable" displayName="IntegratedTelemetryTable" ref="A1:L124" headerRowCount="1">
  <x:tableColumns count="12">
    <x:tableColumn id="1" name="time_ms"/>
    <x:tableColumn id="2" name="accel_x"/>
    <x:tableColumn id="3" name="accel_y"/>
    <x:tableColumn id="4" name="accel_z"/>
    <x:tableColumn id="5" name="gyro_x"/>
    <x:tableColumn id="6" name="gyro_y"/>
    <x:tableColumn id="7" name="gyro_z"/>
    <x:tableColumn id="8" name="accel_magnitude"/>
    <x:tableColumn id="9" name="ina240_adc"/>
    <x:tableColumn id="10" name="ina240_out_voltage"/>
    <x:tableColumn id="11" name="time_s"/>
    <x:tableColumn id="12" name="pha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323d8efc034e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014943815246498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.920000076293945" hidden="0" customWidth="1"/>
    <x:col min="3" max="3" width="5.920000076293945" hidden="0" customWidth="1"/>
    <x:col min="4" max="4" width="5.789999961853027" hidden="0" customWidth="1"/>
    <x:col min="5" max="5" width="5.380000114440918" hidden="0" customWidth="1"/>
    <x:col min="6" max="6" width="5.519999980926514" hidden="0" customWidth="1"/>
    <x:col min="7" max="7" width="5.25" hidden="0" customWidth="1"/>
    <x:col min="8" max="8" width="13.859999656677246" hidden="0" customWidth="1"/>
    <x:col min="9" max="9" width="9.289999961853027" hidden="0" customWidth="1"/>
    <x:col min="10" max="10" width="16.290000915527344" hidden="0" customWidth="1"/>
    <x:col min="11" max="11" width="10" hidden="0" customWidth="1"/>
    <x:col min="12" max="12" width="18" hidden="0" customWidth="1"/>
  </x:cols>
  <x:sheetData>
    <x:row r="1" ht="22" customHeight="1">
      <x:c r="A1" s="5" t="str">
        <x:v>time_ms</x:v>
      </x:c>
      <x:c r="B1" s="5" t="str">
        <x:v>accel_x</x:v>
      </x:c>
      <x:c r="C1" s="5" t="str">
        <x:v>accel_y</x:v>
      </x:c>
      <x:c r="D1" s="5" t="str">
        <x:v>accel_z</x:v>
      </x:c>
      <x:c r="E1" s="5" t="str">
        <x:v>gyro_x</x:v>
      </x:c>
      <x:c r="F1" s="5" t="str">
        <x:v>gyro_y</x:v>
      </x:c>
      <x:c r="G1" s="5" t="str">
        <x:v>gyro_z</x:v>
      </x:c>
      <x:c r="H1" s="5" t="str">
        <x:v>accel_magnitude</x:v>
      </x:c>
      <x:c r="I1" s="5" t="str">
        <x:v>ina240_adc</x:v>
      </x:c>
      <x:c r="J1" s="5" t="str">
        <x:v>ina240_out_voltage</x:v>
      </x:c>
      <x:c r="K1" s="5" t="str">
        <x:v>time_s</x:v>
      </x:c>
      <x:c r="L1" s="5" t="str">
        <x:v>phase</x:v>
      </x:c>
    </x:row>
    <x:row r="2">
      <x:c r="A2" s="12" t="n">
        <x:v>1320</x:v>
      </x:c>
      <x:c r="B2" s="10" t="n">
        <x:v>0.242</x:v>
      </x:c>
      <x:c r="C2" s="10" t="n">
        <x:v>0.273</x:v>
      </x:c>
      <x:c r="D2" s="10" t="n">
        <x:v>9.515</x:v>
      </x:c>
      <x:c r="E2" s="10" t="n">
        <x:v>-0.005</x:v>
      </x:c>
      <x:c r="F2" s="10" t="n">
        <x:v>-0.085</x:v>
      </x:c>
      <x:c r="G2" s="10" t="n">
        <x:v>-0.003</x:v>
      </x:c>
      <x:c r="H2" s="10" t="n">
        <x:v>9.522</x:v>
      </x:c>
      <x:c r="I2" s="12" t="n">
        <x:v>1881</x:v>
      </x:c>
      <x:c r="J2" s="10" t="n">
        <x:v>1.516</x:v>
      </x:c>
      <x:c r="K2" s="10" t="n">
        <x:f>(A2-$A$2)/1000</x:f>
        <x:v>0</x:v>
      </x:c>
      <x:c r="L2" t="str">
        <x:f>IF(K2&lt;15,"0-15s Stationary",IF(K2&lt;30,"15-30s Movement",IF(K2&lt;45,"30-45s Movement","45-60s Stationary")))</x:f>
        <x:v>0-15s Stationary</x:v>
      </x:c>
    </x:row>
    <x:row r="3">
      <x:c r="A3" s="12" t="n">
        <x:v>1823</x:v>
      </x:c>
      <x:c r="B3" s="10" t="n">
        <x:v>0.182</x:v>
      </x:c>
      <x:c r="C3" s="10" t="n">
        <x:v>0.23</x:v>
      </x:c>
      <x:c r="D3" s="10" t="n">
        <x:v>9.457</x:v>
      </x:c>
      <x:c r="E3" s="10" t="n">
        <x:v>-0.007</x:v>
      </x:c>
      <x:c r="F3" s="10" t="n">
        <x:v>-0.086</x:v>
      </x:c>
      <x:c r="G3" s="10" t="n">
        <x:v>-0.007</x:v>
      </x:c>
      <x:c r="H3" s="10" t="n">
        <x:v>9.462</x:v>
      </x:c>
      <x:c r="I3" s="12" t="n">
        <x:v>1879</x:v>
      </x:c>
      <x:c r="J3" s="10" t="n">
        <x:v>1.514</x:v>
      </x:c>
      <x:c r="K3" s="10" t="n">
        <x:f>(A3-$A$2)/1000</x:f>
        <x:v>0.503</x:v>
      </x:c>
      <x:c r="L3" t="str">
        <x:f>IF(K3&lt;15,"0-15s Stationary",IF(K3&lt;30,"15-30s Movement",IF(K3&lt;45,"30-45s Movement","45-60s Stationary")))</x:f>
        <x:v>0-15s Stationary</x:v>
      </x:c>
    </x:row>
    <x:row r="4">
      <x:c r="A4" s="12" t="n">
        <x:v>2326</x:v>
      </x:c>
      <x:c r="B4" s="10" t="n">
        <x:v>0.196</x:v>
      </x:c>
      <x:c r="C4" s="10" t="n">
        <x:v>0.225</x:v>
      </x:c>
      <x:c r="D4" s="10" t="n">
        <x:v>9.488</x:v>
      </x:c>
      <x:c r="E4" s="10" t="n">
        <x:v>-0.007</x:v>
      </x:c>
      <x:c r="F4" s="10" t="n">
        <x:v>-0.085</x:v>
      </x:c>
      <x:c r="G4" s="10" t="n">
        <x:v>-0.006</x:v>
      </x:c>
      <x:c r="H4" s="10" t="n">
        <x:v>9.493</x:v>
      </x:c>
      <x:c r="I4" s="12" t="n">
        <x:v>1891</x:v>
      </x:c>
      <x:c r="J4" s="10" t="n">
        <x:v>1.524</x:v>
      </x:c>
      <x:c r="K4" s="10" t="n">
        <x:f>(A4-$A$2)/1000</x:f>
        <x:v>1.006</x:v>
      </x:c>
      <x:c r="L4" t="str">
        <x:f>IF(K4&lt;15,"0-15s Stationary",IF(K4&lt;30,"15-30s Movement",IF(K4&lt;45,"30-45s Movement","45-60s Stationary")))</x:f>
        <x:v>0-15s Stationary</x:v>
      </x:c>
    </x:row>
    <x:row r="5">
      <x:c r="A5" s="12" t="n">
        <x:v>2829</x:v>
      </x:c>
      <x:c r="B5" s="10" t="n">
        <x:v>0.184</x:v>
      </x:c>
      <x:c r="C5" s="10" t="n">
        <x:v>0.239</x:v>
      </x:c>
      <x:c r="D5" s="10" t="n">
        <x:v>9.481</x:v>
      </x:c>
      <x:c r="E5" s="10" t="n">
        <x:v>-0.007</x:v>
      </x:c>
      <x:c r="F5" s="10" t="n">
        <x:v>-0.085</x:v>
      </x:c>
      <x:c r="G5" s="10" t="n">
        <x:v>-0.006</x:v>
      </x:c>
      <x:c r="H5" s="10" t="n">
        <x:v>9.486</x:v>
      </x:c>
      <x:c r="I5" s="12" t="n">
        <x:v>1888</x:v>
      </x:c>
      <x:c r="J5" s="10" t="n">
        <x:v>1.521</x:v>
      </x:c>
      <x:c r="K5" s="10" t="n">
        <x:f>(A5-$A$2)/1000</x:f>
        <x:v>1.509</x:v>
      </x:c>
      <x:c r="L5" t="str">
        <x:f>IF(K5&lt;15,"0-15s Stationary",IF(K5&lt;30,"15-30s Movement",IF(K5&lt;45,"30-45s Movement","45-60s Stationary")))</x:f>
        <x:v>0-15s Stationary</x:v>
      </x:c>
    </x:row>
    <x:row r="6">
      <x:c r="A6" s="12" t="n">
        <x:v>3332</x:v>
      </x:c>
      <x:c r="B6" s="10" t="n">
        <x:v>0.199</x:v>
      </x:c>
      <x:c r="C6" s="10" t="n">
        <x:v>0.23</x:v>
      </x:c>
      <x:c r="D6" s="10" t="n">
        <x:v>9.479</x:v>
      </x:c>
      <x:c r="E6" s="10" t="n">
        <x:v>-0.007</x:v>
      </x:c>
      <x:c r="F6" s="10" t="n">
        <x:v>-0.086</x:v>
      </x:c>
      <x:c r="G6" s="10" t="n">
        <x:v>-0.007</x:v>
      </x:c>
      <x:c r="H6" s="10" t="n">
        <x:v>9.484</x:v>
      </x:c>
      <x:c r="I6" s="12" t="n">
        <x:v>1887</x:v>
      </x:c>
      <x:c r="J6" s="10" t="n">
        <x:v>1.521</x:v>
      </x:c>
      <x:c r="K6" s="10" t="n">
        <x:f>(A6-$A$2)/1000</x:f>
        <x:v>2.012</x:v>
      </x:c>
      <x:c r="L6" t="str">
        <x:f>IF(K6&lt;15,"0-15s Stationary",IF(K6&lt;30,"15-30s Movement",IF(K6&lt;45,"30-45s Movement","45-60s Stationary")))</x:f>
        <x:v>0-15s Stationary</x:v>
      </x:c>
    </x:row>
    <x:row r="7">
      <x:c r="A7" s="12" t="n">
        <x:v>3835</x:v>
      </x:c>
      <x:c r="B7" s="10" t="n">
        <x:v>0.211</x:v>
      </x:c>
      <x:c r="C7" s="10" t="n">
        <x:v>0.23</x:v>
      </x:c>
      <x:c r="D7" s="10" t="n">
        <x:v>9.469</x:v>
      </x:c>
      <x:c r="E7" s="10" t="n">
        <x:v>-0.006</x:v>
      </x:c>
      <x:c r="F7" s="10" t="n">
        <x:v>-0.085</x:v>
      </x:c>
      <x:c r="G7" s="10" t="n">
        <x:v>-0.006</x:v>
      </x:c>
      <x:c r="H7" s="10" t="n">
        <x:v>9.474</x:v>
      </x:c>
      <x:c r="I7" s="12" t="n">
        <x:v>1881</x:v>
      </x:c>
      <x:c r="J7" s="10" t="n">
        <x:v>1.516</x:v>
      </x:c>
      <x:c r="K7" s="10" t="n">
        <x:f>(A7-$A$2)/1000</x:f>
        <x:v>2.515</x:v>
      </x:c>
      <x:c r="L7" t="str">
        <x:f>IF(K7&lt;15,"0-15s Stationary",IF(K7&lt;30,"15-30s Movement",IF(K7&lt;45,"30-45s Movement","45-60s Stationary")))</x:f>
        <x:v>0-15s Stationary</x:v>
      </x:c>
    </x:row>
    <x:row r="8">
      <x:c r="A8" s="12" t="n">
        <x:v>4338</x:v>
      </x:c>
      <x:c r="B8" s="10" t="n">
        <x:v>0.204</x:v>
      </x:c>
      <x:c r="C8" s="10" t="n">
        <x:v>0.22</x:v>
      </x:c>
      <x:c r="D8" s="10" t="n">
        <x:v>9.474</x:v>
      </x:c>
      <x:c r="E8" s="10" t="n">
        <x:v>-0.007</x:v>
      </x:c>
      <x:c r="F8" s="10" t="n">
        <x:v>-0.085</x:v>
      </x:c>
      <x:c r="G8" s="10" t="n">
        <x:v>-0.006</x:v>
      </x:c>
      <x:c r="H8" s="10" t="n">
        <x:v>9.479</x:v>
      </x:c>
      <x:c r="I8" s="12" t="n">
        <x:v>1882</x:v>
      </x:c>
      <x:c r="J8" s="10" t="n">
        <x:v>1.517</x:v>
      </x:c>
      <x:c r="K8" s="10" t="n">
        <x:f>(A8-$A$2)/1000</x:f>
        <x:v>3.018</x:v>
      </x:c>
      <x:c r="L8" t="str">
        <x:f>IF(K8&lt;15,"0-15s Stationary",IF(K8&lt;30,"15-30s Movement",IF(K8&lt;45,"30-45s Movement","45-60s Stationary")))</x:f>
        <x:v>0-15s Stationary</x:v>
      </x:c>
    </x:row>
    <x:row r="9">
      <x:c r="A9" s="12" t="n">
        <x:v>4841</x:v>
      </x:c>
      <x:c r="B9" s="10" t="n">
        <x:v>0.204</x:v>
      </x:c>
      <x:c r="C9" s="10" t="n">
        <x:v>0.232</x:v>
      </x:c>
      <x:c r="D9" s="10" t="n">
        <x:v>9.464</x:v>
      </x:c>
      <x:c r="E9" s="10" t="n">
        <x:v>-0.007</x:v>
      </x:c>
      <x:c r="F9" s="10" t="n">
        <x:v>-0.086</x:v>
      </x:c>
      <x:c r="G9" s="10" t="n">
        <x:v>-0.007</x:v>
      </x:c>
      <x:c r="H9" s="10" t="n">
        <x:v>9.469</x:v>
      </x:c>
      <x:c r="I9" s="12" t="n">
        <x:v>1893</x:v>
      </x:c>
      <x:c r="J9" s="10" t="n">
        <x:v>1.525</x:v>
      </x:c>
      <x:c r="K9" s="10" t="n">
        <x:f>(A9-$A$2)/1000</x:f>
        <x:v>3.521</x:v>
      </x:c>
      <x:c r="L9" t="str">
        <x:f>IF(K9&lt;15,"0-15s Stationary",IF(K9&lt;30,"15-30s Movement",IF(K9&lt;45,"30-45s Movement","45-60s Stationary")))</x:f>
        <x:v>0-15s Stationary</x:v>
      </x:c>
    </x:row>
    <x:row r="10">
      <x:c r="A10" s="12" t="n">
        <x:v>5344</x:v>
      </x:c>
      <x:c r="B10" s="10" t="n">
        <x:v>0.196</x:v>
      </x:c>
      <x:c r="C10" s="10" t="n">
        <x:v>0.239</x:v>
      </x:c>
      <x:c r="D10" s="10" t="n">
        <x:v>9.471</x:v>
      </x:c>
      <x:c r="E10" s="10" t="n">
        <x:v>-0.006</x:v>
      </x:c>
      <x:c r="F10" s="10" t="n">
        <x:v>-0.085</x:v>
      </x:c>
      <x:c r="G10" s="10" t="n">
        <x:v>-0.006</x:v>
      </x:c>
      <x:c r="H10" s="10" t="n">
        <x:v>9.477</x:v>
      </x:c>
      <x:c r="I10" s="12" t="n">
        <x:v>1881</x:v>
      </x:c>
      <x:c r="J10" s="10" t="n">
        <x:v>1.516</x:v>
      </x:c>
      <x:c r="K10" s="10" t="n">
        <x:f>(A10-$A$2)/1000</x:f>
        <x:v>4.024</x:v>
      </x:c>
      <x:c r="L10" t="str">
        <x:f>IF(K10&lt;15,"0-15s Stationary",IF(K10&lt;30,"15-30s Movement",IF(K10&lt;45,"30-45s Movement","45-60s Stationary")))</x:f>
        <x:v>0-15s Stationary</x:v>
      </x:c>
    </x:row>
    <x:row r="11">
      <x:c r="A11" s="12" t="n">
        <x:v>5847</x:v>
      </x:c>
      <x:c r="B11" s="10" t="n">
        <x:v>0.194</x:v>
      </x:c>
      <x:c r="C11" s="10" t="n">
        <x:v>0.223</x:v>
      </x:c>
      <x:c r="D11" s="10" t="n">
        <x:v>9.479</x:v>
      </x:c>
      <x:c r="E11" s="10" t="n">
        <x:v>-0.007</x:v>
      </x:c>
      <x:c r="F11" s="10" t="n">
        <x:v>-0.086</x:v>
      </x:c>
      <x:c r="G11" s="10" t="n">
        <x:v>-0.006</x:v>
      </x:c>
      <x:c r="H11" s="10" t="n">
        <x:v>9.483</x:v>
      </x:c>
      <x:c r="I11" s="12" t="n">
        <x:v>1885</x:v>
      </x:c>
      <x:c r="J11" s="10" t="n">
        <x:v>1.519</x:v>
      </x:c>
      <x:c r="K11" s="10" t="n">
        <x:f>(A11-$A$2)/1000</x:f>
        <x:v>4.527</x:v>
      </x:c>
      <x:c r="L11" t="str">
        <x:f>IF(K11&lt;15,"0-15s Stationary",IF(K11&lt;30,"15-30s Movement",IF(K11&lt;45,"30-45s Movement","45-60s Stationary")))</x:f>
        <x:v>0-15s Stationary</x:v>
      </x:c>
    </x:row>
    <x:row r="12">
      <x:c r="A12" s="12" t="n">
        <x:v>6350</x:v>
      </x:c>
      <x:c r="B12" s="10" t="n">
        <x:v>0.177</x:v>
      </x:c>
      <x:c r="C12" s="10" t="n">
        <x:v>0.235</x:v>
      </x:c>
      <x:c r="D12" s="10" t="n">
        <x:v>9.469</x:v>
      </x:c>
      <x:c r="E12" s="10" t="n">
        <x:v>-0.007</x:v>
      </x:c>
      <x:c r="F12" s="10" t="n">
        <x:v>-0.085</x:v>
      </x:c>
      <x:c r="G12" s="10" t="n">
        <x:v>-0.006</x:v>
      </x:c>
      <x:c r="H12" s="10" t="n">
        <x:v>9.474</x:v>
      </x:c>
      <x:c r="I12" s="12" t="n">
        <x:v>1883</x:v>
      </x:c>
      <x:c r="J12" s="10" t="n">
        <x:v>1.517</x:v>
      </x:c>
      <x:c r="K12" s="10" t="n">
        <x:f>(A12-$A$2)/1000</x:f>
        <x:v>5.03</x:v>
      </x:c>
      <x:c r="L12" t="str">
        <x:f>IF(K12&lt;15,"0-15s Stationary",IF(K12&lt;30,"15-30s Movement",IF(K12&lt;45,"30-45s Movement","45-60s Stationary")))</x:f>
        <x:v>0-15s Stationary</x:v>
      </x:c>
    </x:row>
    <x:row r="13">
      <x:c r="A13" s="12" t="n">
        <x:v>6853</x:v>
      </x:c>
      <x:c r="B13" s="10" t="n">
        <x:v>0.196</x:v>
      </x:c>
      <x:c r="C13" s="10" t="n">
        <x:v>0.239</x:v>
      </x:c>
      <x:c r="D13" s="10" t="n">
        <x:v>9.455</x:v>
      </x:c>
      <x:c r="E13" s="10" t="n">
        <x:v>-0.007</x:v>
      </x:c>
      <x:c r="F13" s="10" t="n">
        <x:v>-0.082</x:v>
      </x:c>
      <x:c r="G13" s="10" t="n">
        <x:v>-0.005</x:v>
      </x:c>
      <x:c r="H13" s="10" t="n">
        <x:v>9.46</x:v>
      </x:c>
      <x:c r="I13" s="12" t="n">
        <x:v>1882</x:v>
      </x:c>
      <x:c r="J13" s="10" t="n">
        <x:v>1.517</x:v>
      </x:c>
      <x:c r="K13" s="10" t="n">
        <x:f>(A13-$A$2)/1000</x:f>
        <x:v>5.533</x:v>
      </x:c>
      <x:c r="L13" t="str">
        <x:f>IF(K13&lt;15,"0-15s Stationary",IF(K13&lt;30,"15-30s Movement",IF(K13&lt;45,"30-45s Movement","45-60s Stationary")))</x:f>
        <x:v>0-15s Stationary</x:v>
      </x:c>
    </x:row>
    <x:row r="14">
      <x:c r="A14" s="12" t="n">
        <x:v>7356</x:v>
      </x:c>
      <x:c r="B14" s="10" t="n">
        <x:v>-0.278</x:v>
      </x:c>
      <x:c r="C14" s="10" t="n">
        <x:v>0.244</x:v>
      </x:c>
      <x:c r="D14" s="10" t="n">
        <x:v>9.531</x:v>
      </x:c>
      <x:c r="E14" s="10" t="n">
        <x:v>0.023</x:v>
      </x:c>
      <x:c r="F14" s="10" t="n">
        <x:v>-0.156</x:v>
      </x:c>
      <x:c r="G14" s="10" t="n">
        <x:v>-0.28</x:v>
      </x:c>
      <x:c r="H14" s="10" t="n">
        <x:v>9.538</x:v>
      </x:c>
      <x:c r="I14" s="12" t="n">
        <x:v>1889</x:v>
      </x:c>
      <x:c r="J14" s="10" t="n">
        <x:v>1.522</x:v>
      </x:c>
      <x:c r="K14" s="10" t="n">
        <x:f>(A14-$A$2)/1000</x:f>
        <x:v>6.036</x:v>
      </x:c>
      <x:c r="L14" t="str">
        <x:f>IF(K14&lt;15,"0-15s Stationary",IF(K14&lt;30,"15-30s Movement",IF(K14&lt;45,"30-45s Movement","45-60s Stationary")))</x:f>
        <x:v>0-15s Stationary</x:v>
      </x:c>
    </x:row>
    <x:row r="15">
      <x:c r="A15" s="12" t="n">
        <x:v>7859</x:v>
      </x:c>
      <x:c r="B15" s="10" t="n">
        <x:v>0.251</x:v>
      </x:c>
      <x:c r="C15" s="10" t="n">
        <x:v>0.237</x:v>
      </x:c>
      <x:c r="D15" s="10" t="n">
        <x:v>9.464</x:v>
      </x:c>
      <x:c r="E15" s="10" t="n">
        <x:v>-0.004</x:v>
      </x:c>
      <x:c r="F15" s="10" t="n">
        <x:v>-0.085</x:v>
      </x:c>
      <x:c r="G15" s="10" t="n">
        <x:v>-0.006</x:v>
      </x:c>
      <x:c r="H15" s="10" t="n">
        <x:v>9.471</x:v>
      </x:c>
      <x:c r="I15" s="12" t="n">
        <x:v>1887</x:v>
      </x:c>
      <x:c r="J15" s="10" t="n">
        <x:v>1.521</x:v>
      </x:c>
      <x:c r="K15" s="10" t="n">
        <x:f>(A15-$A$2)/1000</x:f>
        <x:v>6.539</x:v>
      </x:c>
      <x:c r="L15" t="str">
        <x:f>IF(K15&lt;15,"0-15s Stationary",IF(K15&lt;30,"15-30s Movement",IF(K15&lt;45,"30-45s Movement","45-60s Stationary")))</x:f>
        <x:v>0-15s Stationary</x:v>
      </x:c>
    </x:row>
    <x:row r="16">
      <x:c r="A16" s="12" t="n">
        <x:v>8362</x:v>
      </x:c>
      <x:c r="B16" s="10" t="n">
        <x:v>0.251</x:v>
      </x:c>
      <x:c r="C16" s="10" t="n">
        <x:v>0.263</x:v>
      </x:c>
      <x:c r="D16" s="10" t="n">
        <x:v>9.467</x:v>
      </x:c>
      <x:c r="E16" s="10" t="n">
        <x:v>-0.005</x:v>
      </x:c>
      <x:c r="F16" s="10" t="n">
        <x:v>-0.086</x:v>
      </x:c>
      <x:c r="G16" s="10" t="n">
        <x:v>-0.006</x:v>
      </x:c>
      <x:c r="H16" s="10" t="n">
        <x:v>9.474</x:v>
      </x:c>
      <x:c r="I16" s="12" t="n">
        <x:v>1875</x:v>
      </x:c>
      <x:c r="J16" s="10" t="n">
        <x:v>1.511</x:v>
      </x:c>
      <x:c r="K16" s="10" t="n">
        <x:f>(A16-$A$2)/1000</x:f>
        <x:v>7.042</x:v>
      </x:c>
      <x:c r="L16" t="str">
        <x:f>IF(K16&lt;15,"0-15s Stationary",IF(K16&lt;30,"15-30s Movement",IF(K16&lt;45,"30-45s Movement","45-60s Stationary")))</x:f>
        <x:v>0-15s Stationary</x:v>
      </x:c>
    </x:row>
    <x:row r="17">
      <x:c r="A17" s="12" t="n">
        <x:v>8865</x:v>
      </x:c>
      <x:c r="B17" s="10" t="n">
        <x:v>0.232</x:v>
      </x:c>
      <x:c r="C17" s="10" t="n">
        <x:v>0.273</x:v>
      </x:c>
      <x:c r="D17" s="10" t="n">
        <x:v>9.469</x:v>
      </x:c>
      <x:c r="E17" s="10" t="n">
        <x:v>-0.007</x:v>
      </x:c>
      <x:c r="F17" s="10" t="n">
        <x:v>-0.082</x:v>
      </x:c>
      <x:c r="G17" s="10" t="n">
        <x:v>-0.006</x:v>
      </x:c>
      <x:c r="H17" s="10" t="n">
        <x:v>9.476</x:v>
      </x:c>
      <x:c r="I17" s="12" t="n">
        <x:v>1890</x:v>
      </x:c>
      <x:c r="J17" s="10" t="n">
        <x:v>1.523</x:v>
      </x:c>
      <x:c r="K17" s="10" t="n">
        <x:f>(A17-$A$2)/1000</x:f>
        <x:v>7.545</x:v>
      </x:c>
      <x:c r="L17" t="str">
        <x:f>IF(K17&lt;15,"0-15s Stationary",IF(K17&lt;30,"15-30s Movement",IF(K17&lt;45,"30-45s Movement","45-60s Stationary")))</x:f>
        <x:v>0-15s Stationary</x:v>
      </x:c>
    </x:row>
    <x:row r="18">
      <x:c r="A18" s="12" t="n">
        <x:v>9368</x:v>
      </x:c>
      <x:c r="B18" s="10" t="n">
        <x:v>0.249</x:v>
      </x:c>
      <x:c r="C18" s="10" t="n">
        <x:v>0.273</x:v>
      </x:c>
      <x:c r="D18" s="10" t="n">
        <x:v>9.457</x:v>
      </x:c>
      <x:c r="E18" s="10" t="n">
        <x:v>-0.009</x:v>
      </x:c>
      <x:c r="F18" s="10" t="n">
        <x:v>-0.083</x:v>
      </x:c>
      <x:c r="G18" s="10" t="n">
        <x:v>-0.004</x:v>
      </x:c>
      <x:c r="H18" s="10" t="n">
        <x:v>9.464</x:v>
      </x:c>
      <x:c r="I18" s="12" t="n">
        <x:v>1878</x:v>
      </x:c>
      <x:c r="J18" s="10" t="n">
        <x:v>1.513</x:v>
      </x:c>
      <x:c r="K18" s="10" t="n">
        <x:f>(A18-$A$2)/1000</x:f>
        <x:v>8.048</x:v>
      </x:c>
      <x:c r="L18" t="str">
        <x:f>IF(K18&lt;15,"0-15s Stationary",IF(K18&lt;30,"15-30s Movement",IF(K18&lt;45,"30-45s Movement","45-60s Stationary")))</x:f>
        <x:v>0-15s Stationary</x:v>
      </x:c>
    </x:row>
    <x:row r="19">
      <x:c r="A19" s="12" t="n">
        <x:v>9871</x:v>
      </x:c>
      <x:c r="B19" s="10" t="n">
        <x:v>-0.493</x:v>
      </x:c>
      <x:c r="C19" s="10" t="n">
        <x:v>0.038</x:v>
      </x:c>
      <x:c r="D19" s="10" t="n">
        <x:v>9.373</x:v>
      </x:c>
      <x:c r="E19" s="10" t="n">
        <x:v>-0.017</x:v>
      </x:c>
      <x:c r="F19" s="10" t="n">
        <x:v>-0.075</x:v>
      </x:c>
      <x:c r="G19" s="10" t="n">
        <x:v>-0.091</x:v>
      </x:c>
      <x:c r="H19" s="10" t="n">
        <x:v>9.386</x:v>
      </x:c>
      <x:c r="I19" s="12" t="n">
        <x:v>1885</x:v>
      </x:c>
      <x:c r="J19" s="10" t="n">
        <x:v>1.519</x:v>
      </x:c>
      <x:c r="K19" s="10" t="n">
        <x:f>(A19-$A$2)/1000</x:f>
        <x:v>8.551</x:v>
      </x:c>
      <x:c r="L19" t="str">
        <x:f>IF(K19&lt;15,"0-15s Stationary",IF(K19&lt;30,"15-30s Movement",IF(K19&lt;45,"30-45s Movement","45-60s Stationary")))</x:f>
        <x:v>0-15s Stationary</x:v>
      </x:c>
    </x:row>
    <x:row r="20">
      <x:c r="A20" s="12" t="n">
        <x:v>10374</x:v>
      </x:c>
      <x:c r="B20" s="10" t="n">
        <x:v>0.242</x:v>
      </x:c>
      <x:c r="C20" s="10" t="n">
        <x:v>-0.007</x:v>
      </x:c>
      <x:c r="D20" s="10" t="n">
        <x:v>9.383</x:v>
      </x:c>
      <x:c r="E20" s="10" t="n">
        <x:v>-0.005</x:v>
      </x:c>
      <x:c r="F20" s="10" t="n">
        <x:v>-0.081</x:v>
      </x:c>
      <x:c r="G20" s="10" t="n">
        <x:v>-0.007</x:v>
      </x:c>
      <x:c r="H20" s="10" t="n">
        <x:v>9.386</x:v>
      </x:c>
      <x:c r="I20" s="12" t="n">
        <x:v>1882</x:v>
      </x:c>
      <x:c r="J20" s="10" t="n">
        <x:v>1.517</x:v>
      </x:c>
      <x:c r="K20" s="10" t="n">
        <x:f>(A20-$A$2)/1000</x:f>
        <x:v>9.054</x:v>
      </x:c>
      <x:c r="L20" t="str">
        <x:f>IF(K20&lt;15,"0-15s Stationary",IF(K20&lt;30,"15-30s Movement",IF(K20&lt;45,"30-45s Movement","45-60s Stationary")))</x:f>
        <x:v>0-15s Stationary</x:v>
      </x:c>
    </x:row>
    <x:row r="21">
      <x:c r="A21" s="12" t="n">
        <x:v>10877</x:v>
      </x:c>
      <x:c r="B21" s="10" t="n">
        <x:v>0.213</x:v>
      </x:c>
      <x:c r="C21" s="10" t="n">
        <x:v>-0.012</x:v>
      </x:c>
      <x:c r="D21" s="10" t="n">
        <x:v>9.452</x:v>
      </x:c>
      <x:c r="E21" s="10" t="n">
        <x:v>-0.007</x:v>
      </x:c>
      <x:c r="F21" s="10" t="n">
        <x:v>-0.085</x:v>
      </x:c>
      <x:c r="G21" s="10" t="n">
        <x:v>-0.007</x:v>
      </x:c>
      <x:c r="H21" s="10" t="n">
        <x:v>9.455</x:v>
      </x:c>
      <x:c r="I21" s="12" t="n">
        <x:v>1889</x:v>
      </x:c>
      <x:c r="J21" s="10" t="n">
        <x:v>1.522</x:v>
      </x:c>
      <x:c r="K21" s="10" t="n">
        <x:f>(A21-$A$2)/1000</x:f>
        <x:v>9.557</x:v>
      </x:c>
      <x:c r="L21" t="str">
        <x:f>IF(K21&lt;15,"0-15s Stationary",IF(K21&lt;30,"15-30s Movement",IF(K21&lt;45,"30-45s Movement","45-60s Stationary")))</x:f>
        <x:v>0-15s Stationary</x:v>
      </x:c>
    </x:row>
    <x:row r="22">
      <x:c r="A22" s="12" t="n">
        <x:v>11380</x:v>
      </x:c>
      <x:c r="B22" s="10" t="n">
        <x:v>0.242</x:v>
      </x:c>
      <x:c r="C22" s="10" t="n">
        <x:v>-0.012</x:v>
      </x:c>
      <x:c r="D22" s="10" t="n">
        <x:v>9.469</x:v>
      </x:c>
      <x:c r="E22" s="10" t="n">
        <x:v>-0.006</x:v>
      </x:c>
      <x:c r="F22" s="10" t="n">
        <x:v>-0.085</x:v>
      </x:c>
      <x:c r="G22" s="10" t="n">
        <x:v>-0.007</x:v>
      </x:c>
      <x:c r="H22" s="10" t="n">
        <x:v>9.472</x:v>
      </x:c>
      <x:c r="I22" s="12" t="n">
        <x:v>1879</x:v>
      </x:c>
      <x:c r="J22" s="10" t="n">
        <x:v>1.514</x:v>
      </x:c>
      <x:c r="K22" s="10" t="n">
        <x:f>(A22-$A$2)/1000</x:f>
        <x:v>10.06</x:v>
      </x:c>
      <x:c r="L22" t="str">
        <x:f>IF(K22&lt;15,"0-15s Stationary",IF(K22&lt;30,"15-30s Movement",IF(K22&lt;45,"30-45s Movement","45-60s Stationary")))</x:f>
        <x:v>0-15s Stationary</x:v>
      </x:c>
    </x:row>
    <x:row r="23">
      <x:c r="A23" s="12" t="n">
        <x:v>11883</x:v>
      </x:c>
      <x:c r="B23" s="10" t="n">
        <x:v>0.227</x:v>
      </x:c>
      <x:c r="C23" s="10" t="n">
        <x:v>-0.007</x:v>
      </x:c>
      <x:c r="D23" s="10" t="n">
        <x:v>9.448</x:v>
      </x:c>
      <x:c r="E23" s="10" t="n">
        <x:v>-0.006</x:v>
      </x:c>
      <x:c r="F23" s="10" t="n">
        <x:v>-0.086</x:v>
      </x:c>
      <x:c r="G23" s="10" t="n">
        <x:v>-0.007</x:v>
      </x:c>
      <x:c r="H23" s="10" t="n">
        <x:v>9.45</x:v>
      </x:c>
      <x:c r="I23" s="12" t="n">
        <x:v>1880</x:v>
      </x:c>
      <x:c r="J23" s="10" t="n">
        <x:v>1.515</x:v>
      </x:c>
      <x:c r="K23" s="10" t="n">
        <x:f>(A23-$A$2)/1000</x:f>
        <x:v>10.563</x:v>
      </x:c>
      <x:c r="L23" t="str">
        <x:f>IF(K23&lt;15,"0-15s Stationary",IF(K23&lt;30,"15-30s Movement",IF(K23&lt;45,"30-45s Movement","45-60s Stationary")))</x:f>
        <x:v>0-15s Stationary</x:v>
      </x:c>
    </x:row>
    <x:row r="24">
      <x:c r="A24" s="12" t="n">
        <x:v>12386</x:v>
      </x:c>
      <x:c r="B24" s="10" t="n">
        <x:v>0.232</x:v>
      </x:c>
      <x:c r="C24" s="10" t="n">
        <x:v>-0.014</x:v>
      </x:c>
      <x:c r="D24" s="10" t="n">
        <x:v>9.469</x:v>
      </x:c>
      <x:c r="E24" s="10" t="n">
        <x:v>-0.007</x:v>
      </x:c>
      <x:c r="F24" s="10" t="n">
        <x:v>-0.086</x:v>
      </x:c>
      <x:c r="G24" s="10" t="n">
        <x:v>-0.006</x:v>
      </x:c>
      <x:c r="H24" s="10" t="n">
        <x:v>9.472</x:v>
      </x:c>
      <x:c r="I24" s="12" t="n">
        <x:v>1888</x:v>
      </x:c>
      <x:c r="J24" s="10" t="n">
        <x:v>1.521</x:v>
      </x:c>
      <x:c r="K24" s="10" t="n">
        <x:f>(A24-$A$2)/1000</x:f>
        <x:v>11.066</x:v>
      </x:c>
      <x:c r="L24" t="str">
        <x:f>IF(K24&lt;15,"0-15s Stationary",IF(K24&lt;30,"15-30s Movement",IF(K24&lt;45,"30-45s Movement","45-60s Stationary")))</x:f>
        <x:v>0-15s Stationary</x:v>
      </x:c>
    </x:row>
    <x:row r="25">
      <x:c r="A25" s="12" t="n">
        <x:v>12889</x:v>
      </x:c>
      <x:c r="B25" s="10" t="n">
        <x:v>0.235</x:v>
      </x:c>
      <x:c r="C25" s="10" t="n">
        <x:v>-0.014</x:v>
      </x:c>
      <x:c r="D25" s="10" t="n">
        <x:v>9.457</x:v>
      </x:c>
      <x:c r="E25" s="10" t="n">
        <x:v>-0.007</x:v>
      </x:c>
      <x:c r="F25" s="10" t="n">
        <x:v>-0.086</x:v>
      </x:c>
      <x:c r="G25" s="10" t="n">
        <x:v>-0.007</x:v>
      </x:c>
      <x:c r="H25" s="10" t="n">
        <x:v>9.46</x:v>
      </x:c>
      <x:c r="I25" s="12" t="n">
        <x:v>1889</x:v>
      </x:c>
      <x:c r="J25" s="10" t="n">
        <x:v>1.522</x:v>
      </x:c>
      <x:c r="K25" s="10" t="n">
        <x:f>(A25-$A$2)/1000</x:f>
        <x:v>11.569</x:v>
      </x:c>
      <x:c r="L25" t="str">
        <x:f>IF(K25&lt;15,"0-15s Stationary",IF(K25&lt;30,"15-30s Movement",IF(K25&lt;45,"30-45s Movement","45-60s Stationary")))</x:f>
        <x:v>0-15s Stationary</x:v>
      </x:c>
    </x:row>
    <x:row r="26">
      <x:c r="A26" s="12" t="n">
        <x:v>13392</x:v>
      </x:c>
      <x:c r="B26" s="10" t="n">
        <x:v>0.237</x:v>
      </x:c>
      <x:c r="C26" s="10" t="n">
        <x:v>-0.036</x:v>
      </x:c>
      <x:c r="D26" s="10" t="n">
        <x:v>9.448</x:v>
      </x:c>
      <x:c r="E26" s="10" t="n">
        <x:v>-0.007</x:v>
      </x:c>
      <x:c r="F26" s="10" t="n">
        <x:v>-0.087</x:v>
      </x:c>
      <x:c r="G26" s="10" t="n">
        <x:v>-0.007</x:v>
      </x:c>
      <x:c r="H26" s="10" t="n">
        <x:v>9.451</x:v>
      </x:c>
      <x:c r="I26" s="12" t="n">
        <x:v>1889</x:v>
      </x:c>
      <x:c r="J26" s="10" t="n">
        <x:v>1.522</x:v>
      </x:c>
      <x:c r="K26" s="10" t="n">
        <x:f>(A26-$A$2)/1000</x:f>
        <x:v>12.072</x:v>
      </x:c>
      <x:c r="L26" t="str">
        <x:f>IF(K26&lt;15,"0-15s Stationary",IF(K26&lt;30,"15-30s Movement",IF(K26&lt;45,"30-45s Movement","45-60s Stationary")))</x:f>
        <x:v>0-15s Stationary</x:v>
      </x:c>
    </x:row>
    <x:row r="27">
      <x:c r="A27" s="12" t="n">
        <x:v>13895</x:v>
      </x:c>
      <x:c r="B27" s="10" t="n">
        <x:v>0.259</x:v>
      </x:c>
      <x:c r="C27" s="10" t="n">
        <x:v>-0.014</x:v>
      </x:c>
      <x:c r="D27" s="10" t="n">
        <x:v>9.433</x:v>
      </x:c>
      <x:c r="E27" s="10" t="n">
        <x:v>-0.007</x:v>
      </x:c>
      <x:c r="F27" s="10" t="n">
        <x:v>-0.086</x:v>
      </x:c>
      <x:c r="G27" s="10" t="n">
        <x:v>-0.007</x:v>
      </x:c>
      <x:c r="H27" s="10" t="n">
        <x:v>9.437</x:v>
      </x:c>
      <x:c r="I27" s="12" t="n">
        <x:v>1881</x:v>
      </x:c>
      <x:c r="J27" s="10" t="n">
        <x:v>1.516</x:v>
      </x:c>
      <x:c r="K27" s="10" t="n">
        <x:f>(A27-$A$2)/1000</x:f>
        <x:v>12.575</x:v>
      </x:c>
      <x:c r="L27" t="str">
        <x:f>IF(K27&lt;15,"0-15s Stationary",IF(K27&lt;30,"15-30s Movement",IF(K27&lt;45,"30-45s Movement","45-60s Stationary")))</x:f>
        <x:v>0-15s Stationary</x:v>
      </x:c>
    </x:row>
    <x:row r="28">
      <x:c r="A28" s="12" t="n">
        <x:v>14398</x:v>
      </x:c>
      <x:c r="B28" s="10" t="n">
        <x:v>0.256</x:v>
      </x:c>
      <x:c r="C28" s="10" t="n">
        <x:v>-0.043</x:v>
      </x:c>
      <x:c r="D28" s="10" t="n">
        <x:v>9.476</x:v>
      </x:c>
      <x:c r="E28" s="10" t="n">
        <x:v>-0.008</x:v>
      </x:c>
      <x:c r="F28" s="10" t="n">
        <x:v>-0.086</x:v>
      </x:c>
      <x:c r="G28" s="10" t="n">
        <x:v>-0.007</x:v>
      </x:c>
      <x:c r="H28" s="10" t="n">
        <x:v>9.48</x:v>
      </x:c>
      <x:c r="I28" s="12" t="n">
        <x:v>1885</x:v>
      </x:c>
      <x:c r="J28" s="10" t="n">
        <x:v>1.519</x:v>
      </x:c>
      <x:c r="K28" s="10" t="n">
        <x:f>(A28-$A$2)/1000</x:f>
        <x:v>13.078</x:v>
      </x:c>
      <x:c r="L28" t="str">
        <x:f>IF(K28&lt;15,"0-15s Stationary",IF(K28&lt;30,"15-30s Movement",IF(K28&lt;45,"30-45s Movement","45-60s Stationary")))</x:f>
        <x:v>0-15s Stationary</x:v>
      </x:c>
    </x:row>
    <x:row r="29">
      <x:c r="A29" s="12" t="n">
        <x:v>14901</x:v>
      </x:c>
      <x:c r="B29" s="10" t="n">
        <x:v>0.256</x:v>
      </x:c>
      <x:c r="C29" s="10" t="n">
        <x:v>-0.022</x:v>
      </x:c>
      <x:c r="D29" s="10" t="n">
        <x:v>9.445</x:v>
      </x:c>
      <x:c r="E29" s="10" t="n">
        <x:v>-0.007</x:v>
      </x:c>
      <x:c r="F29" s="10" t="n">
        <x:v>-0.086</x:v>
      </x:c>
      <x:c r="G29" s="10" t="n">
        <x:v>-0.005</x:v>
      </x:c>
      <x:c r="H29" s="10" t="n">
        <x:v>9.449</x:v>
      </x:c>
      <x:c r="I29" s="12" t="n">
        <x:v>1888</x:v>
      </x:c>
      <x:c r="J29" s="10" t="n">
        <x:v>1.521</x:v>
      </x:c>
      <x:c r="K29" s="10" t="n">
        <x:f>(A29-$A$2)/1000</x:f>
        <x:v>13.581</x:v>
      </x:c>
      <x:c r="L29" t="str">
        <x:f>IF(K29&lt;15,"0-15s Stationary",IF(K29&lt;30,"15-30s Movement",IF(K29&lt;45,"30-45s Movement","45-60s Stationary")))</x:f>
        <x:v>0-15s Stationary</x:v>
      </x:c>
    </x:row>
    <x:row r="30">
      <x:c r="A30" s="12" t="n">
        <x:v>15404</x:v>
      </x:c>
      <x:c r="B30" s="10" t="n">
        <x:v>0.256</x:v>
      </x:c>
      <x:c r="C30" s="10" t="n">
        <x:v>-0.014</x:v>
      </x:c>
      <x:c r="D30" s="10" t="n">
        <x:v>9.459</x:v>
      </x:c>
      <x:c r="E30" s="10" t="n">
        <x:v>-0.006</x:v>
      </x:c>
      <x:c r="F30" s="10" t="n">
        <x:v>-0.085</x:v>
      </x:c>
      <x:c r="G30" s="10" t="n">
        <x:v>-0.007</x:v>
      </x:c>
      <x:c r="H30" s="10" t="n">
        <x:v>9.463</x:v>
      </x:c>
      <x:c r="I30" s="12" t="n">
        <x:v>1875</x:v>
      </x:c>
      <x:c r="J30" s="10" t="n">
        <x:v>1.511</x:v>
      </x:c>
      <x:c r="K30" s="10" t="n">
        <x:f>(A30-$A$2)/1000</x:f>
        <x:v>14.084</x:v>
      </x:c>
      <x:c r="L30" t="str">
        <x:f>IF(K30&lt;15,"0-15s Stationary",IF(K30&lt;30,"15-30s Movement",IF(K30&lt;45,"30-45s Movement","45-60s Stationary")))</x:f>
        <x:v>0-15s Stationary</x:v>
      </x:c>
    </x:row>
    <x:row r="31">
      <x:c r="A31" s="12" t="n">
        <x:v>15907</x:v>
      </x:c>
      <x:c r="B31" s="10" t="n">
        <x:v>1.034</x:v>
      </x:c>
      <x:c r="C31" s="10" t="n">
        <x:v>0.383</x:v>
      </x:c>
      <x:c r="D31" s="10" t="n">
        <x:v>9.555</x:v>
      </x:c>
      <x:c r="E31" s="10" t="n">
        <x:v>-0.023</x:v>
      </x:c>
      <x:c r="F31" s="10" t="n">
        <x:v>-0.11</x:v>
      </x:c>
      <x:c r="G31" s="10" t="n">
        <x:v>-0.3</x:v>
      </x:c>
      <x:c r="H31" s="10" t="n">
        <x:v>9.619</x:v>
      </x:c>
      <x:c r="I31" s="12" t="n">
        <x:v>1892</x:v>
      </x:c>
      <x:c r="J31" s="10" t="n">
        <x:v>1.525</x:v>
      </x:c>
      <x:c r="K31" s="10" t="n">
        <x:f>(A31-$A$2)/1000</x:f>
        <x:v>14.587</x:v>
      </x:c>
      <x:c r="L31" t="str">
        <x:f>IF(K31&lt;15,"0-15s Stationary",IF(K31&lt;30,"15-30s Movement",IF(K31&lt;45,"30-45s Movement","45-60s Stationary")))</x:f>
        <x:v>0-15s Stationary</x:v>
      </x:c>
    </x:row>
    <x:row r="32">
      <x:c r="A32" s="12" t="n">
        <x:v>16410</x:v>
      </x:c>
      <x:c r="B32" s="10" t="n">
        <x:v>0.304</x:v>
      </x:c>
      <x:c r="C32" s="10" t="n">
        <x:v>0.089</x:v>
      </x:c>
      <x:c r="D32" s="10" t="n">
        <x:v>9.407</x:v>
      </x:c>
      <x:c r="E32" s="10" t="n">
        <x:v>0.059</x:v>
      </x:c>
      <x:c r="F32" s="10" t="n">
        <x:v>-0.091</x:v>
      </x:c>
      <x:c r="G32" s="10" t="n">
        <x:v>-0.01</x:v>
      </x:c>
      <x:c r="H32" s="10" t="n">
        <x:v>9.412</x:v>
      </x:c>
      <x:c r="I32" s="12" t="n">
        <x:v>1878</x:v>
      </x:c>
      <x:c r="J32" s="10" t="n">
        <x:v>1.513</x:v>
      </x:c>
      <x:c r="K32" s="10" t="n">
        <x:f>(A32-$A$2)/1000</x:f>
        <x:v>15.09</x:v>
      </x:c>
      <x:c r="L32" t="str">
        <x:f>IF(K32&lt;15,"0-15s Stationary",IF(K32&lt;30,"15-30s Movement",IF(K32&lt;45,"30-45s Movement","45-60s Stationary")))</x:f>
        <x:v>15-30s Movement</x:v>
      </x:c>
    </x:row>
    <x:row r="33">
      <x:c r="A33" s="12" t="n">
        <x:v>16913</x:v>
      </x:c>
      <x:c r="B33" s="10" t="n">
        <x:v>0.685</x:v>
      </x:c>
      <x:c r="C33" s="10" t="n">
        <x:v>-0.711</x:v>
      </x:c>
      <x:c r="D33" s="10" t="n">
        <x:v>8.423</x:v>
      </x:c>
      <x:c r="E33" s="10" t="n">
        <x:v>-0.305</x:v>
      </x:c>
      <x:c r="F33" s="10" t="n">
        <x:v>0.164</x:v>
      </x:c>
      <x:c r="G33" s="10" t="n">
        <x:v>-0.154</x:v>
      </x:c>
      <x:c r="H33" s="10" t="n">
        <x:v>8.48</x:v>
      </x:c>
      <x:c r="I33" s="12" t="n">
        <x:v>1883</x:v>
      </x:c>
      <x:c r="J33" s="10" t="n">
        <x:v>1.517</x:v>
      </x:c>
      <x:c r="K33" s="10" t="n">
        <x:f>(A33-$A$2)/1000</x:f>
        <x:v>15.593</x:v>
      </x:c>
      <x:c r="L33" t="str">
        <x:f>IF(K33&lt;15,"0-15s Stationary",IF(K33&lt;30,"15-30s Movement",IF(K33&lt;45,"30-45s Movement","45-60s Stationary")))</x:f>
        <x:v>15-30s Movement</x:v>
      </x:c>
    </x:row>
    <x:row r="34">
      <x:c r="A34" s="12" t="n">
        <x:v>17416</x:v>
      </x:c>
      <x:c r="B34" s="10" t="n">
        <x:v>2.617</x:v>
      </x:c>
      <x:c r="C34" s="10" t="n">
        <x:v>6.115</x:v>
      </x:c>
      <x:c r="D34" s="10" t="n">
        <x:v>9.754</x:v>
      </x:c>
      <x:c r="E34" s="10" t="n">
        <x:v>0.177</x:v>
      </x:c>
      <x:c r="F34" s="10" t="n">
        <x:v>0.055</x:v>
      </x:c>
      <x:c r="G34" s="10" t="n">
        <x:v>-0.161</x:v>
      </x:c>
      <x:c r="H34" s="10" t="n">
        <x:v>11.806</x:v>
      </x:c>
      <x:c r="I34" s="12" t="n">
        <x:v>1885</x:v>
      </x:c>
      <x:c r="J34" s="10" t="n">
        <x:v>1.519</x:v>
      </x:c>
      <x:c r="K34" s="10" t="n">
        <x:f>(A34-$A$2)/1000</x:f>
        <x:v>16.096</x:v>
      </x:c>
      <x:c r="L34" t="str">
        <x:f>IF(K34&lt;15,"0-15s Stationary",IF(K34&lt;30,"15-30s Movement",IF(K34&lt;45,"30-45s Movement","45-60s Stationary")))</x:f>
        <x:v>15-30s Movement</x:v>
      </x:c>
    </x:row>
    <x:row r="35">
      <x:c r="A35" s="12" t="n">
        <x:v>17919</x:v>
      </x:c>
      <x:c r="B35" s="10" t="n">
        <x:v>1.432</x:v>
      </x:c>
      <x:c r="C35" s="10" t="n">
        <x:v>-1.154</x:v>
      </x:c>
      <x:c r="D35" s="10" t="n">
        <x:v>7.554</x:v>
      </x:c>
      <x:c r="E35" s="10" t="n">
        <x:v>0.31</x:v>
      </x:c>
      <x:c r="F35" s="10" t="n">
        <x:v>-0.33</x:v>
      </x:c>
      <x:c r="G35" s="10" t="n">
        <x:v>-0.707</x:v>
      </x:c>
      <x:c r="H35" s="10" t="n">
        <x:v>7.774</x:v>
      </x:c>
      <x:c r="I35" s="12" t="n">
        <x:v>1891</x:v>
      </x:c>
      <x:c r="J35" s="10" t="n">
        <x:v>1.524</x:v>
      </x:c>
      <x:c r="K35" s="10" t="n">
        <x:f>(A35-$A$2)/1000</x:f>
        <x:v>16.599</x:v>
      </x:c>
      <x:c r="L35" t="str">
        <x:f>IF(K35&lt;15,"0-15s Stationary",IF(K35&lt;30,"15-30s Movement",IF(K35&lt;45,"30-45s Movement","45-60s Stationary")))</x:f>
        <x:v>15-30s Movement</x:v>
      </x:c>
    </x:row>
    <x:row r="36">
      <x:c r="A36" s="12" t="n">
        <x:v>18422</x:v>
      </x:c>
      <x:c r="B36" s="10" t="n">
        <x:v>0.297</x:v>
      </x:c>
      <x:c r="C36" s="10" t="n">
        <x:v>-0.132</x:v>
      </x:c>
      <x:c r="D36" s="10" t="n">
        <x:v>13.154</x:v>
      </x:c>
      <x:c r="E36" s="10" t="n">
        <x:v>-0.662</x:v>
      </x:c>
      <x:c r="F36" s="10" t="n">
        <x:v>0.529</x:v>
      </x:c>
      <x:c r="G36" s="10" t="n">
        <x:v>0.036</x:v>
      </x:c>
      <x:c r="H36" s="10" t="n">
        <x:v>13.158</x:v>
      </x:c>
      <x:c r="I36" s="12" t="n">
        <x:v>1898</x:v>
      </x:c>
      <x:c r="J36" s="10" t="n">
        <x:v>1.53</x:v>
      </x:c>
      <x:c r="K36" s="10" t="n">
        <x:f>(A36-$A$2)/1000</x:f>
        <x:v>17.102</x:v>
      </x:c>
      <x:c r="L36" t="str">
        <x:f>IF(K36&lt;15,"0-15s Stationary",IF(K36&lt;30,"15-30s Movement",IF(K36&lt;45,"30-45s Movement","45-60s Stationary")))</x:f>
        <x:v>15-30s Movement</x:v>
      </x:c>
    </x:row>
    <x:row r="37">
      <x:c r="A37" s="12" t="n">
        <x:v>18925</x:v>
      </x:c>
      <x:c r="B37" s="10" t="n">
        <x:v>2.586</x:v>
      </x:c>
      <x:c r="C37" s="10" t="n">
        <x:v>5.298</x:v>
      </x:c>
      <x:c r="D37" s="10" t="n">
        <x:v>9.17</x:v>
      </x:c>
      <x:c r="E37" s="10" t="n">
        <x:v>-0.088</x:v>
      </x:c>
      <x:c r="F37" s="10" t="n">
        <x:v>-0.086</x:v>
      </x:c>
      <x:c r="G37" s="10" t="n">
        <x:v>0.291</x:v>
      </x:c>
      <x:c r="H37" s="10" t="n">
        <x:v>10.902</x:v>
      </x:c>
      <x:c r="I37" s="12" t="n">
        <x:v>1875</x:v>
      </x:c>
      <x:c r="J37" s="10" t="n">
        <x:v>1.511</x:v>
      </x:c>
      <x:c r="K37" s="10" t="n">
        <x:f>(A37-$A$2)/1000</x:f>
        <x:v>17.605</x:v>
      </x:c>
      <x:c r="L37" t="str">
        <x:f>IF(K37&lt;15,"0-15s Stationary",IF(K37&lt;30,"15-30s Movement",IF(K37&lt;45,"30-45s Movement","45-60s Stationary")))</x:f>
        <x:v>15-30s Movement</x:v>
      </x:c>
    </x:row>
    <x:row r="38">
      <x:c r="A38" s="12" t="n">
        <x:v>19428</x:v>
      </x:c>
      <x:c r="B38" s="10" t="n">
        <x:v>2.107</x:v>
      </x:c>
      <x:c r="C38" s="10" t="n">
        <x:v>2.227</x:v>
      </x:c>
      <x:c r="D38" s="10" t="n">
        <x:v>9.131</x:v>
      </x:c>
      <x:c r="E38" s="10" t="n">
        <x:v>0.474</x:v>
      </x:c>
      <x:c r="F38" s="10" t="n">
        <x:v>-0.099</x:v>
      </x:c>
      <x:c r="G38" s="10" t="n">
        <x:v>-0.72</x:v>
      </x:c>
      <x:c r="H38" s="10" t="n">
        <x:v>9.632</x:v>
      </x:c>
      <x:c r="I38" s="12" t="n">
        <x:v>1887</x:v>
      </x:c>
      <x:c r="J38" s="10" t="n">
        <x:v>1.521</x:v>
      </x:c>
      <x:c r="K38" s="10" t="n">
        <x:f>(A38-$A$2)/1000</x:f>
        <x:v>18.108</x:v>
      </x:c>
      <x:c r="L38" t="str">
        <x:f>IF(K38&lt;15,"0-15s Stationary",IF(K38&lt;30,"15-30s Movement",IF(K38&lt;45,"30-45s Movement","45-60s Stationary")))</x:f>
        <x:v>15-30s Movement</x:v>
      </x:c>
    </x:row>
    <x:row r="39">
      <x:c r="A39" s="12" t="n">
        <x:v>19931</x:v>
      </x:c>
      <x:c r="B39" s="10" t="n">
        <x:v>-0.381</x:v>
      </x:c>
      <x:c r="C39" s="10" t="n">
        <x:v>-3.579</x:v>
      </x:c>
      <x:c r="D39" s="10" t="n">
        <x:v>10.068</x:v>
      </x:c>
      <x:c r="E39" s="10" t="n">
        <x:v>0.202</x:v>
      </x:c>
      <x:c r="F39" s="10" t="n">
        <x:v>-0.357</x:v>
      </x:c>
      <x:c r="G39" s="10" t="n">
        <x:v>-0.272</x:v>
      </x:c>
      <x:c r="H39" s="10" t="n">
        <x:v>10.692</x:v>
      </x:c>
      <x:c r="I39" s="12" t="n">
        <x:v>1887</x:v>
      </x:c>
      <x:c r="J39" s="10" t="n">
        <x:v>1.521</x:v>
      </x:c>
      <x:c r="K39" s="10" t="n">
        <x:f>(A39-$A$2)/1000</x:f>
        <x:v>18.611</x:v>
      </x:c>
      <x:c r="L39" t="str">
        <x:f>IF(K39&lt;15,"0-15s Stationary",IF(K39&lt;30,"15-30s Movement",IF(K39&lt;45,"30-45s Movement","45-60s Stationary")))</x:f>
        <x:v>15-30s Movement</x:v>
      </x:c>
    </x:row>
    <x:row r="40">
      <x:c r="A40" s="12" t="n">
        <x:v>20434</x:v>
      </x:c>
      <x:c r="B40" s="10" t="n">
        <x:v>0.05</x:v>
      </x:c>
      <x:c r="C40" s="10" t="n">
        <x:v>-1.954</x:v>
      </x:c>
      <x:c r="D40" s="10" t="n">
        <x:v>10.274</x:v>
      </x:c>
      <x:c r="E40" s="10" t="n">
        <x:v>-0.432</x:v>
      </x:c>
      <x:c r="F40" s="10" t="n">
        <x:v>0.075</x:v>
      </x:c>
      <x:c r="G40" s="10" t="n">
        <x:v>0.379</x:v>
      </x:c>
      <x:c r="H40" s="10" t="n">
        <x:v>10.458</x:v>
      </x:c>
      <x:c r="I40" s="12" t="n">
        <x:v>1885</x:v>
      </x:c>
      <x:c r="J40" s="10" t="n">
        <x:v>1.519</x:v>
      </x:c>
      <x:c r="K40" s="10" t="n">
        <x:f>(A40-$A$2)/1000</x:f>
        <x:v>19.114</x:v>
      </x:c>
      <x:c r="L40" t="str">
        <x:f>IF(K40&lt;15,"0-15s Stationary",IF(K40&lt;30,"15-30s Movement",IF(K40&lt;45,"30-45s Movement","45-60s Stationary")))</x:f>
        <x:v>15-30s Movement</x:v>
      </x:c>
    </x:row>
    <x:row r="41">
      <x:c r="A41" s="12" t="n">
        <x:v>20937</x:v>
      </x:c>
      <x:c r="B41" s="10" t="n">
        <x:v>2.995</x:v>
      </x:c>
      <x:c r="C41" s="10" t="n">
        <x:v>5.703</x:v>
      </x:c>
      <x:c r="D41" s="10" t="n">
        <x:v>9.17</x:v>
      </x:c>
      <x:c r="E41" s="10" t="n">
        <x:v>-0.087</x:v>
      </x:c>
      <x:c r="F41" s="10" t="n">
        <x:v>-0.011</x:v>
      </x:c>
      <x:c r="G41" s="10" t="n">
        <x:v>0.186</x:v>
      </x:c>
      <x:c r="H41" s="10" t="n">
        <x:v>11.206</x:v>
      </x:c>
      <x:c r="I41" s="12" t="n">
        <x:v>1887</x:v>
      </x:c>
      <x:c r="J41" s="10" t="n">
        <x:v>1.521</x:v>
      </x:c>
      <x:c r="K41" s="10" t="n">
        <x:f>(A41-$A$2)/1000</x:f>
        <x:v>19.617</x:v>
      </x:c>
      <x:c r="L41" t="str">
        <x:f>IF(K41&lt;15,"0-15s Stationary",IF(K41&lt;30,"15-30s Movement",IF(K41&lt;45,"30-45s Movement","45-60s Stationary")))</x:f>
        <x:v>15-30s Movement</x:v>
      </x:c>
    </x:row>
    <x:row r="42">
      <x:c r="A42" s="12" t="n">
        <x:v>21440</x:v>
      </x:c>
      <x:c r="B42" s="10" t="n">
        <x:v>0.651</x:v>
      </x:c>
      <x:c r="C42" s="10" t="n">
        <x:v>-2.361</x:v>
      </x:c>
      <x:c r="D42" s="10" t="n">
        <x:v>9.586</x:v>
      </x:c>
      <x:c r="E42" s="10" t="n">
        <x:v>0.48</x:v>
      </x:c>
      <x:c r="F42" s="10" t="n">
        <x:v>-0.42</x:v>
      </x:c>
      <x:c r="G42" s="10" t="n">
        <x:v>-0.406</x:v>
      </x:c>
      <x:c r="H42" s="10" t="n">
        <x:v>9.894</x:v>
      </x:c>
      <x:c r="I42" s="12" t="n">
        <x:v>1881</x:v>
      </x:c>
      <x:c r="J42" s="10" t="n">
        <x:v>1.516</x:v>
      </x:c>
      <x:c r="K42" s="10" t="n">
        <x:f>(A42-$A$2)/1000</x:f>
        <x:v>20.12</x:v>
      </x:c>
      <x:c r="L42" t="str">
        <x:f>IF(K42&lt;15,"0-15s Stationary",IF(K42&lt;30,"15-30s Movement",IF(K42&lt;45,"30-45s Movement","45-60s Stationary")))</x:f>
        <x:v>15-30s Movement</x:v>
      </x:c>
    </x:row>
    <x:row r="43">
      <x:c r="A43" s="12" t="n">
        <x:v>21943</x:v>
      </x:c>
      <x:c r="B43" s="10" t="n">
        <x:v>1.008</x:v>
      </x:c>
      <x:c r="C43" s="10" t="n">
        <x:v>0.486</x:v>
      </x:c>
      <x:c r="D43" s="10" t="n">
        <x:v>7.944</x:v>
      </x:c>
      <x:c r="E43" s="10" t="n">
        <x:v>-0.523</x:v>
      </x:c>
      <x:c r="F43" s="10" t="n">
        <x:v>0.173</x:v>
      </x:c>
      <x:c r="G43" s="10" t="n">
        <x:v>0.42</x:v>
      </x:c>
      <x:c r="H43" s="10" t="n">
        <x:v>8.022</x:v>
      </x:c>
      <x:c r="I43" s="12" t="n">
        <x:v>1885</x:v>
      </x:c>
      <x:c r="J43" s="10" t="n">
        <x:v>1.519</x:v>
      </x:c>
      <x:c r="K43" s="10" t="n">
        <x:f>(A43-$A$2)/1000</x:f>
        <x:v>20.623</x:v>
      </x:c>
      <x:c r="L43" t="str">
        <x:f>IF(K43&lt;15,"0-15s Stationary",IF(K43&lt;30,"15-30s Movement",IF(K43&lt;45,"30-45s Movement","45-60s Stationary")))</x:f>
        <x:v>15-30s Movement</x:v>
      </x:c>
    </x:row>
    <x:row r="44">
      <x:c r="A44" s="12" t="n">
        <x:v>22446</x:v>
      </x:c>
      <x:c r="B44" s="10" t="n">
        <x:v>2.792</x:v>
      </x:c>
      <x:c r="C44" s="10" t="n">
        <x:v>4.087</x:v>
      </x:c>
      <x:c r="D44" s="10" t="n">
        <x:v>10.458</x:v>
      </x:c>
      <x:c r="E44" s="10" t="n">
        <x:v>0.445</x:v>
      </x:c>
      <x:c r="F44" s="10" t="n">
        <x:v>-0.12</x:v>
      </x:c>
      <x:c r="G44" s="10" t="n">
        <x:v>-0.345</x:v>
      </x:c>
      <x:c r="H44" s="10" t="n">
        <x:v>11.57</x:v>
      </x:c>
      <x:c r="I44" s="12" t="n">
        <x:v>1881</x:v>
      </x:c>
      <x:c r="J44" s="10" t="n">
        <x:v>1.516</x:v>
      </x:c>
      <x:c r="K44" s="10" t="n">
        <x:f>(A44-$A$2)/1000</x:f>
        <x:v>21.126</x:v>
      </x:c>
      <x:c r="L44" t="str">
        <x:f>IF(K44&lt;15,"0-15s Stationary",IF(K44&lt;30,"15-30s Movement",IF(K44&lt;45,"30-45s Movement","45-60s Stationary")))</x:f>
        <x:v>15-30s Movement</x:v>
      </x:c>
    </x:row>
    <x:row r="45">
      <x:c r="A45" s="12" t="n">
        <x:v>22949</x:v>
      </x:c>
      <x:c r="B45" s="10" t="n">
        <x:v>-0.134</x:v>
      </x:c>
      <x:c r="C45" s="10" t="n">
        <x:v>-3.213</x:v>
      </x:c>
      <x:c r="D45" s="10" t="n">
        <x:v>9.457</x:v>
      </x:c>
      <x:c r="E45" s="10" t="n">
        <x:v>0.067</x:v>
      </x:c>
      <x:c r="F45" s="10" t="n">
        <x:v>-0.229</x:v>
      </x:c>
      <x:c r="G45" s="10" t="n">
        <x:v>-0.262</x:v>
      </x:c>
      <x:c r="H45" s="10" t="n">
        <x:v>9.989</x:v>
      </x:c>
      <x:c r="I45" s="12" t="n">
        <x:v>1887</x:v>
      </x:c>
      <x:c r="J45" s="10" t="n">
        <x:v>1.521</x:v>
      </x:c>
      <x:c r="K45" s="10" t="n">
        <x:f>(A45-$A$2)/1000</x:f>
        <x:v>21.629</x:v>
      </x:c>
      <x:c r="L45" t="str">
        <x:f>IF(K45&lt;15,"0-15s Stationary",IF(K45&lt;30,"15-30s Movement",IF(K45&lt;45,"30-45s Movement","45-60s Stationary")))</x:f>
        <x:v>15-30s Movement</x:v>
      </x:c>
    </x:row>
    <x:row r="46">
      <x:c r="A46" s="12" t="n">
        <x:v>23452</x:v>
      </x:c>
      <x:c r="B46" s="10" t="n">
        <x:v>-0.211</x:v>
      </x:c>
      <x:c r="C46" s="10" t="n">
        <x:v>-2.919</x:v>
      </x:c>
      <x:c r="D46" s="10" t="n">
        <x:v>10.017</x:v>
      </x:c>
      <x:c r="E46" s="10" t="n">
        <x:v>-0.569</x:v>
      </x:c>
      <x:c r="F46" s="10" t="n">
        <x:v>-0.141</x:v>
      </x:c>
      <x:c r="G46" s="10" t="n">
        <x:v>0.202</x:v>
      </x:c>
      <x:c r="H46" s="10" t="n">
        <x:v>10.436</x:v>
      </x:c>
      <x:c r="I46" s="12" t="n">
        <x:v>1885</x:v>
      </x:c>
      <x:c r="J46" s="10" t="n">
        <x:v>1.519</x:v>
      </x:c>
      <x:c r="K46" s="10" t="n">
        <x:f>(A46-$A$2)/1000</x:f>
        <x:v>22.132</x:v>
      </x:c>
      <x:c r="L46" t="str">
        <x:f>IF(K46&lt;15,"0-15s Stationary",IF(K46&lt;30,"15-30s Movement",IF(K46&lt;45,"30-45s Movement","45-60s Stationary")))</x:f>
        <x:v>15-30s Movement</x:v>
      </x:c>
    </x:row>
    <x:row r="47">
      <x:c r="A47" s="12" t="n">
        <x:v>23955</x:v>
      </x:c>
      <x:c r="B47" s="10" t="n">
        <x:v>0.812</x:v>
      </x:c>
      <x:c r="C47" s="10" t="n">
        <x:v>0.23</x:v>
      </x:c>
      <x:c r="D47" s="10" t="n">
        <x:v>9.11</x:v>
      </x:c>
      <x:c r="E47" s="10" t="n">
        <x:v>-0.488</x:v>
      </x:c>
      <x:c r="F47" s="10" t="n">
        <x:v>0.204</x:v>
      </x:c>
      <x:c r="G47" s="10" t="n">
        <x:v>0.551</x:v>
      </x:c>
      <x:c r="H47" s="10" t="n">
        <x:v>9.149</x:v>
      </x:c>
      <x:c r="I47" s="12" t="n">
        <x:v>1886</x:v>
      </x:c>
      <x:c r="J47" s="10" t="n">
        <x:v>1.52</x:v>
      </x:c>
      <x:c r="K47" s="10" t="n">
        <x:f>(A47-$A$2)/1000</x:f>
        <x:v>22.635</x:v>
      </x:c>
      <x:c r="L47" t="str">
        <x:f>IF(K47&lt;15,"0-15s Stationary",IF(K47&lt;30,"15-30s Movement",IF(K47&lt;45,"30-45s Movement","45-60s Stationary")))</x:f>
        <x:v>15-30s Movement</x:v>
      </x:c>
    </x:row>
    <x:row r="48">
      <x:c r="A48" s="12" t="n">
        <x:v>24458</x:v>
      </x:c>
      <x:c r="B48" s="10" t="n">
        <x:v>2.799</x:v>
      </x:c>
      <x:c r="C48" s="10" t="n">
        <x:v>4.432</x:v>
      </x:c>
      <x:c r="D48" s="10" t="n">
        <x:v>8.538</x:v>
      </x:c>
      <x:c r="E48" s="10" t="n">
        <x:v>-0.253</x:v>
      </x:c>
      <x:c r="F48" s="10" t="n">
        <x:v>-0.077</x:v>
      </x:c>
      <x:c r="G48" s="10" t="n">
        <x:v>0.395</x:v>
      </x:c>
      <x:c r="H48" s="10" t="n">
        <x:v>10.018</x:v>
      </x:c>
      <x:c r="I48" s="12" t="n">
        <x:v>1878</x:v>
      </x:c>
      <x:c r="J48" s="10" t="n">
        <x:v>1.513</x:v>
      </x:c>
      <x:c r="K48" s="10" t="n">
        <x:f>(A48-$A$2)/1000</x:f>
        <x:v>23.138</x:v>
      </x:c>
      <x:c r="L48" t="str">
        <x:f>IF(K48&lt;15,"0-15s Stationary",IF(K48&lt;30,"15-30s Movement",IF(K48&lt;45,"30-45s Movement","45-60s Stationary")))</x:f>
        <x:v>15-30s Movement</x:v>
      </x:c>
    </x:row>
    <x:row r="49">
      <x:c r="A49" s="12" t="n">
        <x:v>24961</x:v>
      </x:c>
      <x:c r="B49" s="10" t="n">
        <x:v>2.303</x:v>
      </x:c>
      <x:c r="C49" s="10" t="n">
        <x:v>3.496</x:v>
      </x:c>
      <x:c r="D49" s="10" t="n">
        <x:v>10.036</x:v>
      </x:c>
      <x:c r="E49" s="10" t="n">
        <x:v>0.175</x:v>
      </x:c>
      <x:c r="F49" s="10" t="n">
        <x:v>-0.104</x:v>
      </x:c>
      <x:c r="G49" s="10" t="n">
        <x:v>0.007</x:v>
      </x:c>
      <x:c r="H49" s="10" t="n">
        <x:v>10.875</x:v>
      </x:c>
      <x:c r="I49" s="12" t="n">
        <x:v>1875</x:v>
      </x:c>
      <x:c r="J49" s="10" t="n">
        <x:v>1.511</x:v>
      </x:c>
      <x:c r="K49" s="10" t="n">
        <x:f>(A49-$A$2)/1000</x:f>
        <x:v>23.641</x:v>
      </x:c>
      <x:c r="L49" t="str">
        <x:f>IF(K49&lt;15,"0-15s Stationary",IF(K49&lt;30,"15-30s Movement",IF(K49&lt;45,"30-45s Movement","45-60s Stationary")))</x:f>
        <x:v>15-30s Movement</x:v>
      </x:c>
    </x:row>
    <x:row r="50">
      <x:c r="A50" s="12" t="n">
        <x:v>25464</x:v>
      </x:c>
      <x:c r="B50" s="10" t="n">
        <x:v>2.289</x:v>
      </x:c>
      <x:c r="C50" s="10" t="n">
        <x:v>4.101</x:v>
      </x:c>
      <x:c r="D50" s="10" t="n">
        <x:v>8.997</x:v>
      </x:c>
      <x:c r="E50" s="10" t="n">
        <x:v>0.241</x:v>
      </x:c>
      <x:c r="F50" s="10" t="n">
        <x:v>-0.12</x:v>
      </x:c>
      <x:c r="G50" s="10" t="n">
        <x:v>-0.328</x:v>
      </x:c>
      <x:c r="H50" s="10" t="n">
        <x:v>10.15</x:v>
      </x:c>
      <x:c r="I50" s="12" t="n">
        <x:v>1883</x:v>
      </x:c>
      <x:c r="J50" s="10" t="n">
        <x:v>1.517</x:v>
      </x:c>
      <x:c r="K50" s="10" t="n">
        <x:f>(A50-$A$2)/1000</x:f>
        <x:v>24.144</x:v>
      </x:c>
      <x:c r="L50" t="str">
        <x:f>IF(K50&lt;15,"0-15s Stationary",IF(K50&lt;30,"15-30s Movement",IF(K50&lt;45,"30-45s Movement","45-60s Stationary")))</x:f>
        <x:v>15-30s Movement</x:v>
      </x:c>
    </x:row>
    <x:row r="51">
      <x:c r="A51" s="12" t="n">
        <x:v>25967</x:v>
      </x:c>
      <x:c r="B51" s="10" t="n">
        <x:v>1.92</x:v>
      </x:c>
      <x:c r="C51" s="10" t="n">
        <x:v>1.666</x:v>
      </x:c>
      <x:c r="D51" s="10" t="n">
        <x:v>9.033</x:v>
      </x:c>
      <x:c r="E51" s="10" t="n">
        <x:v>0.568</x:v>
      </x:c>
      <x:c r="F51" s="10" t="n">
        <x:v>-0.036</x:v>
      </x:c>
      <x:c r="G51" s="10" t="n">
        <x:v>-0.815</x:v>
      </x:c>
      <x:c r="H51" s="10" t="n">
        <x:v>9.384</x:v>
      </x:c>
      <x:c r="I51" s="12" t="n">
        <x:v>1890</x:v>
      </x:c>
      <x:c r="J51" s="10" t="n">
        <x:v>1.523</x:v>
      </x:c>
      <x:c r="K51" s="10" t="n">
        <x:f>(A51-$A$2)/1000</x:f>
        <x:v>24.647</x:v>
      </x:c>
      <x:c r="L51" t="str">
        <x:f>IF(K51&lt;15,"0-15s Stationary",IF(K51&lt;30,"15-30s Movement",IF(K51&lt;45,"30-45s Movement","45-60s Stationary")))</x:f>
        <x:v>15-30s Movement</x:v>
      </x:c>
    </x:row>
    <x:row r="52">
      <x:c r="A52" s="12" t="n">
        <x:v>26470</x:v>
      </x:c>
      <x:c r="B52" s="10" t="n">
        <x:v>-0.804</x:v>
      </x:c>
      <x:c r="C52" s="10" t="n">
        <x:v>-3.979</x:v>
      </x:c>
      <x:c r="D52" s="10" t="n">
        <x:v>9.828</x:v>
      </x:c>
      <x:c r="E52" s="10" t="n">
        <x:v>-0.068</x:v>
      </x:c>
      <x:c r="F52" s="10" t="n">
        <x:v>-0.24</x:v>
      </x:c>
      <x:c r="G52" s="10" t="n">
        <x:v>-0.007</x:v>
      </x:c>
      <x:c r="H52" s="10" t="n">
        <x:v>10.634</x:v>
      </x:c>
      <x:c r="I52" s="12" t="n">
        <x:v>1886</x:v>
      </x:c>
      <x:c r="J52" s="10" t="n">
        <x:v>1.52</x:v>
      </x:c>
      <x:c r="K52" s="10" t="n">
        <x:f>(A52-$A$2)/1000</x:f>
        <x:v>25.15</x:v>
      </x:c>
      <x:c r="L52" t="str">
        <x:f>IF(K52&lt;15,"0-15s Stationary",IF(K52&lt;30,"15-30s Movement",IF(K52&lt;45,"30-45s Movement","45-60s Stationary")))</x:f>
        <x:v>15-30s Movement</x:v>
      </x:c>
    </x:row>
    <x:row r="53">
      <x:c r="A53" s="12" t="n">
        <x:v>26974</x:v>
      </x:c>
      <x:c r="B53" s="10" t="n">
        <x:v>0.079</x:v>
      </x:c>
      <x:c r="C53" s="10" t="n">
        <x:v>-1.355</x:v>
      </x:c>
      <x:c r="D53" s="10" t="n">
        <x:v>10.063</x:v>
      </x:c>
      <x:c r="E53" s="10" t="n">
        <x:v>-0.701</x:v>
      </x:c>
      <x:c r="F53" s="10" t="n">
        <x:v>0.352</x:v>
      </x:c>
      <x:c r="G53" s="10" t="n">
        <x:v>0.823</x:v>
      </x:c>
      <x:c r="H53" s="10" t="n">
        <x:v>10.154</x:v>
      </x:c>
      <x:c r="I53" s="12" t="n">
        <x:v>1879</x:v>
      </x:c>
      <x:c r="J53" s="10" t="n">
        <x:v>1.514</x:v>
      </x:c>
      <x:c r="K53" s="10" t="n">
        <x:f>(A53-$A$2)/1000</x:f>
        <x:v>25.654</x:v>
      </x:c>
      <x:c r="L53" t="str">
        <x:f>IF(K53&lt;15,"0-15s Stationary",IF(K53&lt;30,"15-30s Movement",IF(K53&lt;45,"30-45s Movement","45-60s Stationary")))</x:f>
        <x:v>15-30s Movement</x:v>
      </x:c>
    </x:row>
    <x:row r="54">
      <x:c r="A54" s="12" t="n">
        <x:v>27477</x:v>
      </x:c>
      <x:c r="B54" s="10" t="n">
        <x:v>2.047</x:v>
      </x:c>
      <x:c r="C54" s="10" t="n">
        <x:v>3.795</x:v>
      </x:c>
      <x:c r="D54" s="10" t="n">
        <x:v>8.392</x:v>
      </x:c>
      <x:c r="E54" s="10" t="n">
        <x:v>-0.696</x:v>
      </x:c>
      <x:c r="F54" s="10" t="n">
        <x:v>0.121</x:v>
      </x:c>
      <x:c r="G54" s="10" t="n">
        <x:v>0.531</x:v>
      </x:c>
      <x:c r="H54" s="10" t="n">
        <x:v>9.435</x:v>
      </x:c>
      <x:c r="I54" s="12" t="n">
        <x:v>1877</x:v>
      </x:c>
      <x:c r="J54" s="10" t="n">
        <x:v>1.513</x:v>
      </x:c>
      <x:c r="K54" s="10" t="n">
        <x:f>(A54-$A$2)/1000</x:f>
        <x:v>26.157</x:v>
      </x:c>
      <x:c r="L54" t="str">
        <x:f>IF(K54&lt;15,"0-15s Stationary",IF(K54&lt;30,"15-30s Movement",IF(K54&lt;45,"30-45s Movement","45-60s Stationary")))</x:f>
        <x:v>15-30s Movement</x:v>
      </x:c>
    </x:row>
    <x:row r="55">
      <x:c r="A55" s="12" t="n">
        <x:v>27980</x:v>
      </x:c>
      <x:c r="B55" s="10" t="n">
        <x:v>2.646</x:v>
      </x:c>
      <x:c r="C55" s="10" t="n">
        <x:v>5.547</x:v>
      </x:c>
      <x:c r="D55" s="10" t="n">
        <x:v>12.251</x:v>
      </x:c>
      <x:c r="E55" s="10" t="n">
        <x:v>0.552</x:v>
      </x:c>
      <x:c r="F55" s="10" t="n">
        <x:v>-0.394</x:v>
      </x:c>
      <x:c r="G55" s="10" t="n">
        <x:v>-0.21</x:v>
      </x:c>
      <x:c r="H55" s="10" t="n">
        <x:v>13.706</x:v>
      </x:c>
      <x:c r="I55" s="12" t="n">
        <x:v>1885</x:v>
      </x:c>
      <x:c r="J55" s="10" t="n">
        <x:v>1.519</x:v>
      </x:c>
      <x:c r="K55" s="10" t="n">
        <x:f>(A55-$A$2)/1000</x:f>
        <x:v>26.66</x:v>
      </x:c>
      <x:c r="L55" t="str">
        <x:f>IF(K55&lt;15,"0-15s Stationary",IF(K55&lt;30,"15-30s Movement",IF(K55&lt;45,"30-45s Movement","45-60s Stationary")))</x:f>
        <x:v>15-30s Movement</x:v>
      </x:c>
    </x:row>
    <x:row r="56">
      <x:c r="A56" s="12" t="n">
        <x:v>28483</x:v>
      </x:c>
      <x:c r="B56" s="10" t="n">
        <x:v>2.679</x:v>
      </x:c>
      <x:c r="C56" s="10" t="n">
        <x:v>5.085</x:v>
      </x:c>
      <x:c r="D56" s="10" t="n">
        <x:v>10.609</x:v>
      </x:c>
      <x:c r="E56" s="10" t="n">
        <x:v>0.125</x:v>
      </x:c>
      <x:c r="F56" s="10" t="n">
        <x:v>-0.166</x:v>
      </x:c>
      <x:c r="G56" s="10" t="n">
        <x:v>0.011</x:v>
      </x:c>
      <x:c r="H56" s="10" t="n">
        <x:v>12.066</x:v>
      </x:c>
      <x:c r="I56" s="12" t="n">
        <x:v>1882</x:v>
      </x:c>
      <x:c r="J56" s="10" t="n">
        <x:v>1.517</x:v>
      </x:c>
      <x:c r="K56" s="10" t="n">
        <x:f>(A56-$A$2)/1000</x:f>
        <x:v>27.163</x:v>
      </x:c>
      <x:c r="L56" t="str">
        <x:f>IF(K56&lt;15,"0-15s Stationary",IF(K56&lt;30,"15-30s Movement",IF(K56&lt;45,"30-45s Movement","45-60s Stationary")))</x:f>
        <x:v>15-30s Movement</x:v>
      </x:c>
    </x:row>
    <x:row r="57">
      <x:c r="A57" s="12" t="n">
        <x:v>28986</x:v>
      </x:c>
      <x:c r="B57" s="10" t="n">
        <x:v>2.545</x:v>
      </x:c>
      <x:c r="C57" s="10" t="n">
        <x:v>5.102</x:v>
      </x:c>
      <x:c r="D57" s="10" t="n">
        <x:v>10.908</x:v>
      </x:c>
      <x:c r="E57" s="10" t="n">
        <x:v>0.215</x:v>
      </x:c>
      <x:c r="F57" s="10" t="n">
        <x:v>-0.161</x:v>
      </x:c>
      <x:c r="G57" s="10" t="n">
        <x:v>-0.152</x:v>
      </x:c>
      <x:c r="H57" s="10" t="n">
        <x:v>12.308</x:v>
      </x:c>
      <x:c r="I57" s="12" t="n">
        <x:v>1887</x:v>
      </x:c>
      <x:c r="J57" s="10" t="n">
        <x:v>1.521</x:v>
      </x:c>
      <x:c r="K57" s="10" t="n">
        <x:f>(A57-$A$2)/1000</x:f>
        <x:v>27.666</x:v>
      </x:c>
      <x:c r="L57" t="str">
        <x:f>IF(K57&lt;15,"0-15s Stationary",IF(K57&lt;30,"15-30s Movement",IF(K57&lt;45,"30-45s Movement","45-60s Stationary")))</x:f>
        <x:v>15-30s Movement</x:v>
      </x:c>
    </x:row>
    <x:row r="58">
      <x:c r="A58" s="12" t="n">
        <x:v>29489</x:v>
      </x:c>
      <x:c r="B58" s="10" t="n">
        <x:v>2.452</x:v>
      </x:c>
      <x:c r="C58" s="10" t="n">
        <x:v>4.812</x:v>
      </x:c>
      <x:c r="D58" s="10" t="n">
        <x:v>10.077</x:v>
      </x:c>
      <x:c r="E58" s="10" t="n">
        <x:v>0.383</x:v>
      </x:c>
      <x:c r="F58" s="10" t="n">
        <x:v>-0.31</x:v>
      </x:c>
      <x:c r="G58" s="10" t="n">
        <x:v>-0.338</x:v>
      </x:c>
      <x:c r="H58" s="10" t="n">
        <x:v>11.433</x:v>
      </x:c>
      <x:c r="I58" s="12" t="n">
        <x:v>1882</x:v>
      </x:c>
      <x:c r="J58" s="10" t="n">
        <x:v>1.517</x:v>
      </x:c>
      <x:c r="K58" s="10" t="n">
        <x:f>(A58-$A$2)/1000</x:f>
        <x:v>28.169</x:v>
      </x:c>
      <x:c r="L58" t="str">
        <x:f>IF(K58&lt;15,"0-15s Stationary",IF(K58&lt;30,"15-30s Movement",IF(K58&lt;45,"30-45s Movement","45-60s Stationary")))</x:f>
        <x:v>15-30s Movement</x:v>
      </x:c>
    </x:row>
    <x:row r="59">
      <x:c r="A59" s="12" t="n">
        <x:v>29992</x:v>
      </x:c>
      <x:c r="B59" s="10" t="n">
        <x:v>1.956</x:v>
      </x:c>
      <x:c r="C59" s="10" t="n">
        <x:v>2.945</x:v>
      </x:c>
      <x:c r="D59" s="10" t="n">
        <x:v>9.922</x:v>
      </x:c>
      <x:c r="E59" s="10" t="n">
        <x:v>0.567</x:v>
      </x:c>
      <x:c r="F59" s="10" t="n">
        <x:v>-0.116</x:v>
      </x:c>
      <x:c r="G59" s="10" t="n">
        <x:v>-0.545</x:v>
      </x:c>
      <x:c r="H59" s="10" t="n">
        <x:v>10.533</x:v>
      </x:c>
      <x:c r="I59" s="12" t="n">
        <x:v>1882</x:v>
      </x:c>
      <x:c r="J59" s="10" t="n">
        <x:v>1.517</x:v>
      </x:c>
      <x:c r="K59" s="10" t="n">
        <x:f>(A59-$A$2)/1000</x:f>
        <x:v>28.672</x:v>
      </x:c>
      <x:c r="L59" t="str">
        <x:f>IF(K59&lt;15,"0-15s Stationary",IF(K59&lt;30,"15-30s Movement",IF(K59&lt;45,"30-45s Movement","45-60s Stationary")))</x:f>
        <x:v>15-30s Movement</x:v>
      </x:c>
    </x:row>
    <x:row r="60">
      <x:c r="A60" s="12" t="n">
        <x:v>30495</x:v>
      </x:c>
      <x:c r="B60" s="10" t="n">
        <x:v>1.884</x:v>
      </x:c>
      <x:c r="C60" s="10" t="n">
        <x:v>2.701</x:v>
      </x:c>
      <x:c r="D60" s="10" t="n">
        <x:v>9.311</x:v>
      </x:c>
      <x:c r="E60" s="10" t="n">
        <x:v>0.969</x:v>
      </x:c>
      <x:c r="F60" s="10" t="n">
        <x:v>-0.22</x:v>
      </x:c>
      <x:c r="G60" s="10" t="n">
        <x:v>-0.924</x:v>
      </x:c>
      <x:c r="H60" s="10" t="n">
        <x:v>9.876</x:v>
      </x:c>
      <x:c r="I60" s="12" t="n">
        <x:v>1882</x:v>
      </x:c>
      <x:c r="J60" s="10" t="n">
        <x:v>1.517</x:v>
      </x:c>
      <x:c r="K60" s="10" t="n">
        <x:f>(A60-$A$2)/1000</x:f>
        <x:v>29.175</x:v>
      </x:c>
      <x:c r="L60" t="str">
        <x:f>IF(K60&lt;15,"0-15s Stationary",IF(K60&lt;30,"15-30s Movement",IF(K60&lt;45,"30-45s Movement","45-60s Stationary")))</x:f>
        <x:v>15-30s Movement</x:v>
      </x:c>
    </x:row>
    <x:row r="61">
      <x:c r="A61" s="12" t="n">
        <x:v>30998</x:v>
      </x:c>
      <x:c r="B61" s="10" t="n">
        <x:v>0.476</x:v>
      </x:c>
      <x:c r="C61" s="10" t="n">
        <x:v>-2.986</x:v>
      </x:c>
      <x:c r="D61" s="10" t="n">
        <x:v>8.344</x:v>
      </x:c>
      <x:c r="E61" s="10" t="n">
        <x:v>0.576</x:v>
      </x:c>
      <x:c r="F61" s="10" t="n">
        <x:v>-0.325</x:v>
      </x:c>
      <x:c r="G61" s="10" t="n">
        <x:v>-0.698</x:v>
      </x:c>
      <x:c r="H61" s="10" t="n">
        <x:v>8.875</x:v>
      </x:c>
      <x:c r="I61" s="12" t="n">
        <x:v>1891</x:v>
      </x:c>
      <x:c r="J61" s="10" t="n">
        <x:v>1.524</x:v>
      </x:c>
      <x:c r="K61" s="10" t="n">
        <x:f>(A61-$A$2)/1000</x:f>
        <x:v>29.678</x:v>
      </x:c>
      <x:c r="L61" t="str">
        <x:f>IF(K61&lt;15,"0-15s Stationary",IF(K61&lt;30,"15-30s Movement",IF(K61&lt;45,"30-45s Movement","45-60s Stationary")))</x:f>
        <x:v>15-30s Movement</x:v>
      </x:c>
    </x:row>
    <x:row r="62">
      <x:c r="A62" s="12" t="n">
        <x:v>31501</x:v>
      </x:c>
      <x:c r="B62" s="10" t="n">
        <x:v>-0.022</x:v>
      </x:c>
      <x:c r="C62" s="10" t="n">
        <x:v>-3.158</x:v>
      </x:c>
      <x:c r="D62" s="10" t="n">
        <x:v>8.076</x:v>
      </x:c>
      <x:c r="E62" s="10" t="n">
        <x:v>0.07</x:v>
      </x:c>
      <x:c r="F62" s="10" t="n">
        <x:v>-0.114</x:v>
      </x:c>
      <x:c r="G62" s="10" t="n">
        <x:v>-0.111</x:v>
      </x:c>
      <x:c r="H62" s="10" t="n">
        <x:v>8.671</x:v>
      </x:c>
      <x:c r="I62" s="12" t="n">
        <x:v>1890</x:v>
      </x:c>
      <x:c r="J62" s="10" t="n">
        <x:v>1.523</x:v>
      </x:c>
      <x:c r="K62" s="10" t="n">
        <x:f>(A62-$A$2)/1000</x:f>
        <x:v>30.181</x:v>
      </x:c>
      <x:c r="L62" t="str">
        <x:f>IF(K62&lt;15,"0-15s Stationary",IF(K62&lt;30,"15-30s Movement",IF(K62&lt;45,"30-45s Movement","45-60s Stationary")))</x:f>
        <x:v>30-45s Movement</x:v>
      </x:c>
    </x:row>
    <x:row r="63">
      <x:c r="A63" s="12" t="n">
        <x:v>32507</x:v>
      </x:c>
      <x:c r="B63" s="10" t="n">
        <x:v>1.204</x:v>
      </x:c>
      <x:c r="C63" s="10" t="n">
        <x:v>1.135</x:v>
      </x:c>
      <x:c r="D63" s="10" t="n">
        <x:v>13.585</x:v>
      </x:c>
      <x:c r="E63" s="10" t="n">
        <x:v>0.351</x:v>
      </x:c>
      <x:c r="F63" s="10" t="n">
        <x:v>-0.213</x:v>
      </x:c>
      <x:c r="G63" s="10" t="n">
        <x:v>-0.091</x:v>
      </x:c>
      <x:c r="H63" s="10" t="n">
        <x:v>13.685</x:v>
      </x:c>
      <x:c r="I63" s="12" t="n">
        <x:v>1883</x:v>
      </x:c>
      <x:c r="J63" s="10" t="n">
        <x:v>1.517</x:v>
      </x:c>
      <x:c r="K63" s="10" t="n">
        <x:f>(A63-$A$2)/1000</x:f>
        <x:v>31.187</x:v>
      </x:c>
      <x:c r="L63" t="str">
        <x:f>IF(K63&lt;15,"0-15s Stationary",IF(K63&lt;30,"15-30s Movement",IF(K63&lt;45,"30-45s Movement","45-60s Stationary")))</x:f>
        <x:v>30-45s Movement</x:v>
      </x:c>
    </x:row>
    <x:row r="64">
      <x:c r="A64" s="12" t="n">
        <x:v>33010</x:v>
      </x:c>
      <x:c r="B64" s="10" t="n">
        <x:v>0.62</x:v>
      </x:c>
      <x:c r="C64" s="10" t="n">
        <x:v>1.003</x:v>
      </x:c>
      <x:c r="D64" s="10" t="n">
        <x:v>15.574</x:v>
      </x:c>
      <x:c r="E64" s="10" t="n">
        <x:v>0.156</x:v>
      </x:c>
      <x:c r="F64" s="10" t="n">
        <x:v>-0.191</x:v>
      </x:c>
      <x:c r="G64" s="10" t="n">
        <x:v>0.009</x:v>
      </x:c>
      <x:c r="H64" s="10" t="n">
        <x:v>15.619</x:v>
      </x:c>
      <x:c r="I64" s="12" t="n">
        <x:v>1871</x:v>
      </x:c>
      <x:c r="J64" s="10" t="n">
        <x:v>1.508</x:v>
      </x:c>
      <x:c r="K64" s="10" t="n">
        <x:f>(A64-$A$2)/1000</x:f>
        <x:v>31.69</x:v>
      </x:c>
      <x:c r="L64" t="str">
        <x:f>IF(K64&lt;15,"0-15s Stationary",IF(K64&lt;30,"15-30s Movement",IF(K64&lt;45,"30-45s Movement","45-60s Stationary")))</x:f>
        <x:v>30-45s Movement</x:v>
      </x:c>
    </x:row>
    <x:row r="65">
      <x:c r="A65" s="12" t="n">
        <x:v>33513</x:v>
      </x:c>
      <x:c r="B65" s="10" t="n">
        <x:v>0.917</x:v>
      </x:c>
      <x:c r="C65" s="10" t="n">
        <x:v>0.388</x:v>
      </x:c>
      <x:c r="D65" s="10" t="n">
        <x:v>7.46</x:v>
      </x:c>
      <x:c r="E65" s="10" t="n">
        <x:v>-0.51</x:v>
      </x:c>
      <x:c r="F65" s="10" t="n">
        <x:v>0.156</x:v>
      </x:c>
      <x:c r="G65" s="10" t="n">
        <x:v>0.066</x:v>
      </x:c>
      <x:c r="H65" s="10" t="n">
        <x:v>7.526</x:v>
      </x:c>
      <x:c r="I65" s="12" t="n">
        <x:v>1886</x:v>
      </x:c>
      <x:c r="J65" s="10" t="n">
        <x:v>1.52</x:v>
      </x:c>
      <x:c r="K65" s="10" t="n">
        <x:f>(A65-$A$2)/1000</x:f>
        <x:v>32.193</x:v>
      </x:c>
      <x:c r="L65" t="str">
        <x:f>IF(K65&lt;15,"0-15s Stationary",IF(K65&lt;30,"15-30s Movement",IF(K65&lt;45,"30-45s Movement","45-60s Stationary")))</x:f>
        <x:v>30-45s Movement</x:v>
      </x:c>
    </x:row>
    <x:row r="66">
      <x:c r="A66" s="12" t="n">
        <x:v>34016</x:v>
      </x:c>
      <x:c r="B66" s="10" t="n">
        <x:v>1.458</x:v>
      </x:c>
      <x:c r="C66" s="10" t="n">
        <x:v>-0.136</x:v>
      </x:c>
      <x:c r="D66" s="10" t="n">
        <x:v>5.535</x:v>
      </x:c>
      <x:c r="E66" s="10" t="n">
        <x:v>-0.084</x:v>
      </x:c>
      <x:c r="F66" s="10" t="n">
        <x:v>-0.076</x:v>
      </x:c>
      <x:c r="G66" s="10" t="n">
        <x:v>0.028</x:v>
      </x:c>
      <x:c r="H66" s="10" t="n">
        <x:v>5.726</x:v>
      </x:c>
      <x:c r="I66" s="12" t="n">
        <x:v>1887</x:v>
      </x:c>
      <x:c r="J66" s="10" t="n">
        <x:v>1.521</x:v>
      </x:c>
      <x:c r="K66" s="10" t="n">
        <x:f>(A66-$A$2)/1000</x:f>
        <x:v>32.696</x:v>
      </x:c>
      <x:c r="L66" t="str">
        <x:f>IF(K66&lt;15,"0-15s Stationary",IF(K66&lt;30,"15-30s Movement",IF(K66&lt;45,"30-45s Movement","45-60s Stationary")))</x:f>
        <x:v>30-45s Movement</x:v>
      </x:c>
    </x:row>
    <x:row r="67">
      <x:c r="A67" s="12" t="n">
        <x:v>34519</x:v>
      </x:c>
      <x:c r="B67" s="10" t="n">
        <x:v>1.456</x:v>
      </x:c>
      <x:c r="C67" s="10" t="n">
        <x:v>-0.062</x:v>
      </x:c>
      <x:c r="D67" s="10" t="n">
        <x:v>7.099</x:v>
      </x:c>
      <x:c r="E67" s="10" t="n">
        <x:v>0.14</x:v>
      </x:c>
      <x:c r="F67" s="10" t="n">
        <x:v>-0.235</x:v>
      </x:c>
      <x:c r="G67" s="10" t="n">
        <x:v>-0.107</x:v>
      </x:c>
      <x:c r="H67" s="10" t="n">
        <x:v>7.247</x:v>
      </x:c>
      <x:c r="I67" s="12" t="n">
        <x:v>1890</x:v>
      </x:c>
      <x:c r="J67" s="10" t="n">
        <x:v>1.523</x:v>
      </x:c>
      <x:c r="K67" s="10" t="n">
        <x:f>(A67-$A$2)/1000</x:f>
        <x:v>33.199</x:v>
      </x:c>
      <x:c r="L67" t="str">
        <x:f>IF(K67&lt;15,"0-15s Stationary",IF(K67&lt;30,"15-30s Movement",IF(K67&lt;45,"30-45s Movement","45-60s Stationary")))</x:f>
        <x:v>30-45s Movement</x:v>
      </x:c>
    </x:row>
    <x:row r="68">
      <x:c r="A68" s="12" t="n">
        <x:v>35022</x:v>
      </x:c>
      <x:c r="B68" s="10" t="n">
        <x:v>1.432</x:v>
      </x:c>
      <x:c r="C68" s="10" t="n">
        <x:v>0.175</x:v>
      </x:c>
      <x:c r="D68" s="10" t="n">
        <x:v>8.456</x:v>
      </x:c>
      <x:c r="E68" s="10" t="n">
        <x:v>0.242</x:v>
      </x:c>
      <x:c r="F68" s="10" t="n">
        <x:v>-0.175</x:v>
      </x:c>
      <x:c r="G68" s="10" t="n">
        <x:v>0.005</x:v>
      </x:c>
      <x:c r="H68" s="10" t="n">
        <x:v>8.578</x:v>
      </x:c>
      <x:c r="I68" s="12" t="n">
        <x:v>1883</x:v>
      </x:c>
      <x:c r="J68" s="10" t="n">
        <x:v>1.517</x:v>
      </x:c>
      <x:c r="K68" s="10" t="n">
        <x:f>(A68-$A$2)/1000</x:f>
        <x:v>33.702</x:v>
      </x:c>
      <x:c r="L68" t="str">
        <x:f>IF(K68&lt;15,"0-15s Stationary",IF(K68&lt;30,"15-30s Movement",IF(K68&lt;45,"30-45s Movement","45-60s Stationary")))</x:f>
        <x:v>30-45s Movement</x:v>
      </x:c>
    </x:row>
    <x:row r="69">
      <x:c r="A69" s="12" t="n">
        <x:v>35525</x:v>
      </x:c>
      <x:c r="B69" s="10" t="n">
        <x:v>1.238</x:v>
      </x:c>
      <x:c r="C69" s="10" t="n">
        <x:v>-0.536</x:v>
      </x:c>
      <x:c r="D69" s="10" t="n">
        <x:v>8.104</x:v>
      </x:c>
      <x:c r="E69" s="10" t="n">
        <x:v>0.302</x:v>
      </x:c>
      <x:c r="F69" s="10" t="n">
        <x:v>-0.176</x:v>
      </x:c>
      <x:c r="G69" s="10" t="n">
        <x:v>-0.11</x:v>
      </x:c>
      <x:c r="H69" s="10" t="n">
        <x:v>8.216</x:v>
      </x:c>
      <x:c r="I69" s="12" t="n">
        <x:v>1882</x:v>
      </x:c>
      <x:c r="J69" s="10" t="n">
        <x:v>1.517</x:v>
      </x:c>
      <x:c r="K69" s="10" t="n">
        <x:f>(A69-$A$2)/1000</x:f>
        <x:v>34.205</x:v>
      </x:c>
      <x:c r="L69" t="str">
        <x:f>IF(K69&lt;15,"0-15s Stationary",IF(K69&lt;30,"15-30s Movement",IF(K69&lt;45,"30-45s Movement","45-60s Stationary")))</x:f>
        <x:v>30-45s Movement</x:v>
      </x:c>
    </x:row>
    <x:row r="70">
      <x:c r="A70" s="12" t="n">
        <x:v>36028</x:v>
      </x:c>
      <x:c r="B70" s="10" t="n">
        <x:v>1.097</x:v>
      </x:c>
      <x:c r="C70" s="10" t="n">
        <x:v>0.12</x:v>
      </x:c>
      <x:c r="D70" s="10" t="n">
        <x:v>13.151</x:v>
      </x:c>
      <x:c r="E70" s="10" t="n">
        <x:v>0.133</x:v>
      </x:c>
      <x:c r="F70" s="10" t="n">
        <x:v>-0.06</x:v>
      </x:c>
      <x:c r="G70" s="10" t="n">
        <x:v>-0.122</x:v>
      </x:c>
      <x:c r="H70" s="10" t="n">
        <x:v>13.198</x:v>
      </x:c>
      <x:c r="I70" s="12" t="n">
        <x:v>1883</x:v>
      </x:c>
      <x:c r="J70" s="10" t="n">
        <x:v>1.517</x:v>
      </x:c>
      <x:c r="K70" s="10" t="n">
        <x:f>(A70-$A$2)/1000</x:f>
        <x:v>34.708</x:v>
      </x:c>
      <x:c r="L70" t="str">
        <x:f>IF(K70&lt;15,"0-15s Stationary",IF(K70&lt;30,"15-30s Movement",IF(K70&lt;45,"30-45s Movement","45-60s Stationary")))</x:f>
        <x:v>30-45s Movement</x:v>
      </x:c>
    </x:row>
    <x:row r="71">
      <x:c r="A71" s="12" t="n">
        <x:v>36531</x:v>
      </x:c>
      <x:c r="B71" s="10" t="n">
        <x:v>1.405</x:v>
      </x:c>
      <x:c r="C71" s="10" t="n">
        <x:v>0.139</x:v>
      </x:c>
      <x:c r="D71" s="10" t="n">
        <x:v>14.207</x:v>
      </x:c>
      <x:c r="E71" s="10" t="n">
        <x:v>-0.048</x:v>
      </x:c>
      <x:c r="F71" s="10" t="n">
        <x:v>-0.108</x:v>
      </x:c>
      <x:c r="G71" s="10" t="n">
        <x:v>0.07</x:v>
      </x:c>
      <x:c r="H71" s="10" t="n">
        <x:v>14.277</x:v>
      </x:c>
      <x:c r="I71" s="12" t="n">
        <x:v>1882</x:v>
      </x:c>
      <x:c r="J71" s="10" t="n">
        <x:v>1.517</x:v>
      </x:c>
      <x:c r="K71" s="10" t="n">
        <x:f>(A71-$A$2)/1000</x:f>
        <x:v>35.211</x:v>
      </x:c>
      <x:c r="L71" t="str">
        <x:f>IF(K71&lt;15,"0-15s Stationary",IF(K71&lt;30,"15-30s Movement",IF(K71&lt;45,"30-45s Movement","45-60s Stationary")))</x:f>
        <x:v>30-45s Movement</x:v>
      </x:c>
    </x:row>
    <x:row r="72">
      <x:c r="A72" s="12" t="n">
        <x:v>37034</x:v>
      </x:c>
      <x:c r="B72" s="10" t="n">
        <x:v>1.681</x:v>
      </x:c>
      <x:c r="C72" s="10" t="n">
        <x:v>0.201</x:v>
      </x:c>
      <x:c r="D72" s="10" t="n">
        <x:v>6.981</x:v>
      </x:c>
      <x:c r="E72" s="10" t="n">
        <x:v>-0.294</x:v>
      </x:c>
      <x:c r="F72" s="10" t="n">
        <x:v>0.023</x:v>
      </x:c>
      <x:c r="G72" s="10" t="n">
        <x:v>0.05</x:v>
      </x:c>
      <x:c r="H72" s="10" t="n">
        <x:v>7.184</x:v>
      </x:c>
      <x:c r="I72" s="12" t="n">
        <x:v>1887</x:v>
      </x:c>
      <x:c r="J72" s="10" t="n">
        <x:v>1.521</x:v>
      </x:c>
      <x:c r="K72" s="10" t="n">
        <x:f>(A72-$A$2)/1000</x:f>
        <x:v>35.714</x:v>
      </x:c>
      <x:c r="L72" t="str">
        <x:f>IF(K72&lt;15,"0-15s Stationary",IF(K72&lt;30,"15-30s Movement",IF(K72&lt;45,"30-45s Movement","45-60s Stationary")))</x:f>
        <x:v>30-45s Movement</x:v>
      </x:c>
    </x:row>
    <x:row r="73">
      <x:c r="A73" s="12" t="n">
        <x:v>37537</x:v>
      </x:c>
      <x:c r="B73" s="10" t="n">
        <x:v>1.281</x:v>
      </x:c>
      <x:c r="C73" s="10" t="n">
        <x:v>-0.761</x:v>
      </x:c>
      <x:c r="D73" s="10" t="n">
        <x:v>4.87</x:v>
      </x:c>
      <x:c r="E73" s="10" t="n">
        <x:v>-0.037</x:v>
      </x:c>
      <x:c r="F73" s="10" t="n">
        <x:v>-0.106</x:v>
      </x:c>
      <x:c r="G73" s="10" t="n">
        <x:v>-0.063</x:v>
      </x:c>
      <x:c r="H73" s="10" t="n">
        <x:v>5.093</x:v>
      </x:c>
      <x:c r="I73" s="12" t="n">
        <x:v>1885</x:v>
      </x:c>
      <x:c r="J73" s="10" t="n">
        <x:v>1.519</x:v>
      </x:c>
      <x:c r="K73" s="10" t="n">
        <x:f>(A73-$A$2)/1000</x:f>
        <x:v>36.217</x:v>
      </x:c>
      <x:c r="L73" t="str">
        <x:f>IF(K73&lt;15,"0-15s Stationary",IF(K73&lt;30,"15-30s Movement",IF(K73&lt;45,"30-45s Movement","45-60s Stationary")))</x:f>
        <x:v>30-45s Movement</x:v>
      </x:c>
    </x:row>
    <x:row r="74">
      <x:c r="A74" s="12" t="n">
        <x:v>38040</x:v>
      </x:c>
      <x:c r="B74" s="10" t="n">
        <x:v>1.563</x:v>
      </x:c>
      <x:c r="C74" s="10" t="n">
        <x:v>-0.395</x:v>
      </x:c>
      <x:c r="D74" s="10" t="n">
        <x:v>8.44</x:v>
      </x:c>
      <x:c r="E74" s="10" t="n">
        <x:v>0.304</x:v>
      </x:c>
      <x:c r="F74" s="10" t="n">
        <x:v>-0.248</x:v>
      </x:c>
      <x:c r="G74" s="10" t="n">
        <x:v>-0.088</x:v>
      </x:c>
      <x:c r="H74" s="10" t="n">
        <x:v>8.592</x:v>
      </x:c>
      <x:c r="I74" s="12" t="n">
        <x:v>1892</x:v>
      </x:c>
      <x:c r="J74" s="10" t="n">
        <x:v>1.525</x:v>
      </x:c>
      <x:c r="K74" s="10" t="n">
        <x:f>(A74-$A$2)/1000</x:f>
        <x:v>36.72</x:v>
      </x:c>
      <x:c r="L74" t="str">
        <x:f>IF(K74&lt;15,"0-15s Stationary",IF(K74&lt;30,"15-30s Movement",IF(K74&lt;45,"30-45s Movement","45-60s Stationary")))</x:f>
        <x:v>30-45s Movement</x:v>
      </x:c>
    </x:row>
    <x:row r="75">
      <x:c r="A75" s="12" t="n">
        <x:v>38543</x:v>
      </x:c>
      <x:c r="B75" s="10" t="n">
        <x:v>0.577</x:v>
      </x:c>
      <x:c r="C75" s="10" t="n">
        <x:v>-0.5</x:v>
      </x:c>
      <x:c r="D75" s="10" t="n">
        <x:v>14.298</x:v>
      </x:c>
      <x:c r="E75" s="10" t="n">
        <x:v>0.182</x:v>
      </x:c>
      <x:c r="F75" s="10" t="n">
        <x:v>-0.246</x:v>
      </x:c>
      <x:c r="G75" s="10" t="n">
        <x:v>-0.022</x:v>
      </x:c>
      <x:c r="H75" s="10" t="n">
        <x:v>14.319</x:v>
      </x:c>
      <x:c r="I75" s="12" t="n">
        <x:v>1890</x:v>
      </x:c>
      <x:c r="J75" s="10" t="n">
        <x:v>1.523</x:v>
      </x:c>
      <x:c r="K75" s="10" t="n">
        <x:f>(A75-$A$2)/1000</x:f>
        <x:v>37.223</x:v>
      </x:c>
      <x:c r="L75" t="str">
        <x:f>IF(K75&lt;15,"0-15s Stationary",IF(K75&lt;30,"15-30s Movement",IF(K75&lt;45,"30-45s Movement","45-60s Stationary")))</x:f>
        <x:v>30-45s Movement</x:v>
      </x:c>
    </x:row>
    <x:row r="76">
      <x:c r="A76" s="12" t="n">
        <x:v>39046</x:v>
      </x:c>
      <x:c r="B76" s="10" t="n">
        <x:v>1.283</x:v>
      </x:c>
      <x:c r="C76" s="10" t="n">
        <x:v>0.211</x:v>
      </x:c>
      <x:c r="D76" s="10" t="n">
        <x:v>8.916</x:v>
      </x:c>
      <x:c r="E76" s="10" t="n">
        <x:v>-0.335</x:v>
      </x:c>
      <x:c r="F76" s="10" t="n">
        <x:v>0.195</x:v>
      </x:c>
      <x:c r="G76" s="10" t="n">
        <x:v>0.023</x:v>
      </x:c>
      <x:c r="H76" s="10" t="n">
        <x:v>9.01</x:v>
      </x:c>
      <x:c r="I76" s="12" t="n">
        <x:v>1884</x:v>
      </x:c>
      <x:c r="J76" s="10" t="n">
        <x:v>1.518</x:v>
      </x:c>
      <x:c r="K76" s="10" t="n">
        <x:f>(A76-$A$2)/1000</x:f>
        <x:v>37.726</x:v>
      </x:c>
      <x:c r="L76" t="str">
        <x:f>IF(K76&lt;15,"0-15s Stationary",IF(K76&lt;30,"15-30s Movement",IF(K76&lt;45,"30-45s Movement","45-60s Stationary")))</x:f>
        <x:v>30-45s Movement</x:v>
      </x:c>
    </x:row>
    <x:row r="77">
      <x:c r="A77" s="12" t="n">
        <x:v>39549</x:v>
      </x:c>
      <x:c r="B77" s="10" t="n">
        <x:v>1.537</x:v>
      </x:c>
      <x:c r="C77" s="10" t="n">
        <x:v>0.045</x:v>
      </x:c>
      <x:c r="D77" s="10" t="n">
        <x:v>5.48</x:v>
      </x:c>
      <x:c r="E77" s="10" t="n">
        <x:v>-0.023</x:v>
      </x:c>
      <x:c r="F77" s="10" t="n">
        <x:v>-0.088</x:v>
      </x:c>
      <x:c r="G77" s="10" t="n">
        <x:v>-0.021</x:v>
      </x:c>
      <x:c r="H77" s="10" t="n">
        <x:v>5.692</x:v>
      </x:c>
      <x:c r="I77" s="12" t="n">
        <x:v>1883</x:v>
      </x:c>
      <x:c r="J77" s="10" t="n">
        <x:v>1.517</x:v>
      </x:c>
      <x:c r="K77" s="10" t="n">
        <x:f>(A77-$A$2)/1000</x:f>
        <x:v>38.229</x:v>
      </x:c>
      <x:c r="L77" t="str">
        <x:f>IF(K77&lt;15,"0-15s Stationary",IF(K77&lt;30,"15-30s Movement",IF(K77&lt;45,"30-45s Movement","45-60s Stationary")))</x:f>
        <x:v>30-45s Movement</x:v>
      </x:c>
    </x:row>
    <x:row r="78">
      <x:c r="A78" s="12" t="n">
        <x:v>40052</x:v>
      </x:c>
      <x:c r="B78" s="10" t="n">
        <x:v>1.216</x:v>
      </x:c>
      <x:c r="C78" s="10" t="n">
        <x:v>-0.096</x:v>
      </x:c>
      <x:c r="D78" s="10" t="n">
        <x:v>8.76</x:v>
      </x:c>
      <x:c r="E78" s="10" t="n">
        <x:v>0.342</x:v>
      </x:c>
      <x:c r="F78" s="10" t="n">
        <x:v>-0.382</x:v>
      </x:c>
      <x:c r="G78" s="10" t="n">
        <x:v>-0.052</x:v>
      </x:c>
      <x:c r="H78" s="10" t="n">
        <x:v>8.845</x:v>
      </x:c>
      <x:c r="I78" s="12" t="n">
        <x:v>1890</x:v>
      </x:c>
      <x:c r="J78" s="10" t="n">
        <x:v>1.523</x:v>
      </x:c>
      <x:c r="K78" s="10" t="n">
        <x:f>(A78-$A$2)/1000</x:f>
        <x:v>38.732</x:v>
      </x:c>
      <x:c r="L78" t="str">
        <x:f>IF(K78&lt;15,"0-15s Stationary",IF(K78&lt;30,"15-30s Movement",IF(K78&lt;45,"30-45s Movement","45-60s Stationary")))</x:f>
        <x:v>30-45s Movement</x:v>
      </x:c>
    </x:row>
    <x:row r="79">
      <x:c r="A79" s="12" t="n">
        <x:v>40555</x:v>
      </x:c>
      <x:c r="B79" s="10" t="n">
        <x:v>0.666</x:v>
      </x:c>
      <x:c r="C79" s="10" t="n">
        <x:v>-0.139</x:v>
      </x:c>
      <x:c r="D79" s="10" t="n">
        <x:v>11.602</x:v>
      </x:c>
      <x:c r="E79" s="10" t="n">
        <x:v>0.198</x:v>
      </x:c>
      <x:c r="F79" s="10" t="n">
        <x:v>-0.111</x:v>
      </x:c>
      <x:c r="G79" s="10" t="n">
        <x:v>-0.044</x:v>
      </x:c>
      <x:c r="H79" s="10" t="n">
        <x:v>11.622</x:v>
      </x:c>
      <x:c r="I79" s="12" t="n">
        <x:v>1882</x:v>
      </x:c>
      <x:c r="J79" s="10" t="n">
        <x:v>1.517</x:v>
      </x:c>
      <x:c r="K79" s="10" t="n">
        <x:f>(A79-$A$2)/1000</x:f>
        <x:v>39.235</x:v>
      </x:c>
      <x:c r="L79" t="str">
        <x:f>IF(K79&lt;15,"0-15s Stationary",IF(K79&lt;30,"15-30s Movement",IF(K79&lt;45,"30-45s Movement","45-60s Stationary")))</x:f>
        <x:v>30-45s Movement</x:v>
      </x:c>
    </x:row>
    <x:row r="80">
      <x:c r="A80" s="12" t="n">
        <x:v>41058</x:v>
      </x:c>
      <x:c r="B80" s="10" t="n">
        <x:v>0.666</x:v>
      </x:c>
      <x:c r="C80" s="10" t="n">
        <x:v>0.043</x:v>
      </x:c>
      <x:c r="D80" s="10" t="n">
        <x:v>12.957</x:v>
      </x:c>
      <x:c r="E80" s="10" t="n">
        <x:v>0.137</x:v>
      </x:c>
      <x:c r="F80" s="10" t="n">
        <x:v>-0.155</x:v>
      </x:c>
      <x:c r="G80" s="10" t="n">
        <x:v>-0.114</x:v>
      </x:c>
      <x:c r="H80" s="10" t="n">
        <x:v>12.975</x:v>
      </x:c>
      <x:c r="I80" s="12" t="n">
        <x:v>1883</x:v>
      </x:c>
      <x:c r="J80" s="10" t="n">
        <x:v>1.517</x:v>
      </x:c>
      <x:c r="K80" s="10" t="n">
        <x:f>(A80-$A$2)/1000</x:f>
        <x:v>39.738</x:v>
      </x:c>
      <x:c r="L80" t="str">
        <x:f>IF(K80&lt;15,"0-15s Stationary",IF(K80&lt;30,"15-30s Movement",IF(K80&lt;45,"30-45s Movement","45-60s Stationary")))</x:f>
        <x:v>30-45s Movement</x:v>
      </x:c>
    </x:row>
    <x:row r="81">
      <x:c r="A81" s="12" t="n">
        <x:v>41561</x:v>
      </x:c>
      <x:c r="B81" s="10" t="n">
        <x:v>1.903</x:v>
      </x:c>
      <x:c r="C81" s="10" t="n">
        <x:v>0.97</x:v>
      </x:c>
      <x:c r="D81" s="10" t="n">
        <x:v>12.984</x:v>
      </x:c>
      <x:c r="E81" s="10" t="n">
        <x:v>1.18</x:v>
      </x:c>
      <x:c r="F81" s="10" t="n">
        <x:v>0.469</x:v>
      </x:c>
      <x:c r="G81" s="10" t="n">
        <x:v>0.126</x:v>
      </x:c>
      <x:c r="H81" s="10" t="n">
        <x:v>13.158</x:v>
      </x:c>
      <x:c r="I81" s="12" t="n">
        <x:v>1887</x:v>
      </x:c>
      <x:c r="J81" s="10" t="n">
        <x:v>1.521</x:v>
      </x:c>
      <x:c r="K81" s="10" t="n">
        <x:f>(A81-$A$2)/1000</x:f>
        <x:v>40.241</x:v>
      </x:c>
      <x:c r="L81" t="str">
        <x:f>IF(K81&lt;15,"0-15s Stationary",IF(K81&lt;30,"15-30s Movement",IF(K81&lt;45,"30-45s Movement","45-60s Stationary")))</x:f>
        <x:v>30-45s Movement</x:v>
      </x:c>
    </x:row>
    <x:row r="82">
      <x:c r="A82" s="12" t="n">
        <x:v>42064</x:v>
      </x:c>
      <x:c r="B82" s="10" t="n">
        <x:v>1.041</x:v>
      </x:c>
      <x:c r="C82" s="10" t="n">
        <x:v>0.62</x:v>
      </x:c>
      <x:c r="D82" s="10" t="n">
        <x:v>10.743</x:v>
      </x:c>
      <x:c r="E82" s="10" t="n">
        <x:v>-0.326</x:v>
      </x:c>
      <x:c r="F82" s="10" t="n">
        <x:v>-0.046</x:v>
      </x:c>
      <x:c r="G82" s="10" t="n">
        <x:v>0.166</x:v>
      </x:c>
      <x:c r="H82" s="10" t="n">
        <x:v>10.811</x:v>
      </x:c>
      <x:c r="I82" s="12" t="n">
        <x:v>1886</x:v>
      </x:c>
      <x:c r="J82" s="10" t="n">
        <x:v>1.52</x:v>
      </x:c>
      <x:c r="K82" s="10" t="n">
        <x:f>(A82-$A$2)/1000</x:f>
        <x:v>40.744</x:v>
      </x:c>
      <x:c r="L82" t="str">
        <x:f>IF(K82&lt;15,"0-15s Stationary",IF(K82&lt;30,"15-30s Movement",IF(K82&lt;45,"30-45s Movement","45-60s Stationary")))</x:f>
        <x:v>30-45s Movement</x:v>
      </x:c>
    </x:row>
    <x:row r="83">
      <x:c r="A83" s="12" t="n">
        <x:v>42567</x:v>
      </x:c>
      <x:c r="B83" s="10" t="n">
        <x:v>1.334</x:v>
      </x:c>
      <x:c r="C83" s="10" t="n">
        <x:v>0.139</x:v>
      </x:c>
      <x:c r="D83" s="10" t="n">
        <x:v>6.941</x:v>
      </x:c>
      <x:c r="E83" s="10" t="n">
        <x:v>-0.303</x:v>
      </x:c>
      <x:c r="F83" s="10" t="n">
        <x:v>0.09</x:v>
      </x:c>
      <x:c r="G83" s="10" t="n">
        <x:v>0.042</x:v>
      </x:c>
      <x:c r="H83" s="10" t="n">
        <x:v>7.069</x:v>
      </x:c>
      <x:c r="I83" s="12" t="n">
        <x:v>1887</x:v>
      </x:c>
      <x:c r="J83" s="10" t="n">
        <x:v>1.521</x:v>
      </x:c>
      <x:c r="K83" s="10" t="n">
        <x:f>(A83-$A$2)/1000</x:f>
        <x:v>41.247</x:v>
      </x:c>
      <x:c r="L83" t="str">
        <x:f>IF(K83&lt;15,"0-15s Stationary",IF(K83&lt;30,"15-30s Movement",IF(K83&lt;45,"30-45s Movement","45-60s Stationary")))</x:f>
        <x:v>30-45s Movement</x:v>
      </x:c>
    </x:row>
    <x:row r="84">
      <x:c r="A84" s="12" t="n">
        <x:v>43070</x:v>
      </x:c>
      <x:c r="B84" s="10" t="n">
        <x:v>1.319</x:v>
      </x:c>
      <x:c r="C84" s="10" t="n">
        <x:v>0.867</x:v>
      </x:c>
      <x:c r="D84" s="10" t="n">
        <x:v>6.73</x:v>
      </x:c>
      <x:c r="E84" s="10" t="n">
        <x:v>-0.002</x:v>
      </x:c>
      <x:c r="F84" s="10" t="n">
        <x:v>0.09</x:v>
      </x:c>
      <x:c r="G84" s="10" t="n">
        <x:v>0.083</x:v>
      </x:c>
      <x:c r="H84" s="10" t="n">
        <x:v>6.913</x:v>
      </x:c>
      <x:c r="I84" s="12" t="n">
        <x:v>1885</x:v>
      </x:c>
      <x:c r="J84" s="10" t="n">
        <x:v>1.519</x:v>
      </x:c>
      <x:c r="K84" s="10" t="n">
        <x:f>(A84-$A$2)/1000</x:f>
        <x:v>41.75</x:v>
      </x:c>
      <x:c r="L84" t="str">
        <x:f>IF(K84&lt;15,"0-15s Stationary",IF(K84&lt;30,"15-30s Movement",IF(K84&lt;45,"30-45s Movement","45-60s Stationary")))</x:f>
        <x:v>30-45s Movement</x:v>
      </x:c>
    </x:row>
    <x:row r="85">
      <x:c r="A85" s="12" t="n">
        <x:v>43573</x:v>
      </x:c>
      <x:c r="B85" s="10" t="n">
        <x:v>1.456</x:v>
      </x:c>
      <x:c r="C85" s="10" t="n">
        <x:v>0.962</x:v>
      </x:c>
      <x:c r="D85" s="10" t="n">
        <x:v>5.375</x:v>
      </x:c>
      <x:c r="E85" s="10" t="n">
        <x:v>0.042</x:v>
      </x:c>
      <x:c r="F85" s="10" t="n">
        <x:v>-0.092</x:v>
      </x:c>
      <x:c r="G85" s="10" t="n">
        <x:v>-0.047</x:v>
      </x:c>
      <x:c r="H85" s="10" t="n">
        <x:v>5.651</x:v>
      </x:c>
      <x:c r="I85" s="12" t="n">
        <x:v>1891</x:v>
      </x:c>
      <x:c r="J85" s="10" t="n">
        <x:v>1.524</x:v>
      </x:c>
      <x:c r="K85" s="10" t="n">
        <x:f>(A85-$A$2)/1000</x:f>
        <x:v>42.253</x:v>
      </x:c>
      <x:c r="L85" t="str">
        <x:f>IF(K85&lt;15,"0-15s Stationary",IF(K85&lt;30,"15-30s Movement",IF(K85&lt;45,"30-45s Movement","45-60s Stationary")))</x:f>
        <x:v>30-45s Movement</x:v>
      </x:c>
    </x:row>
    <x:row r="86">
      <x:c r="A86" s="12" t="n">
        <x:v>44076</x:v>
      </x:c>
      <x:c r="B86" s="10" t="n">
        <x:v>1.094</x:v>
      </x:c>
      <x:c r="C86" s="10" t="n">
        <x:v>1.286</x:v>
      </x:c>
      <x:c r="D86" s="10" t="n">
        <x:v>9.151</x:v>
      </x:c>
      <x:c r="E86" s="10" t="n">
        <x:v>0.186</x:v>
      </x:c>
      <x:c r="F86" s="10" t="n">
        <x:v>-0.343</x:v>
      </x:c>
      <x:c r="G86" s="10" t="n">
        <x:v>-0.027</x:v>
      </x:c>
      <x:c r="H86" s="10" t="n">
        <x:v>9.305</x:v>
      </x:c>
      <x:c r="I86" s="12" t="n">
        <x:v>1885</x:v>
      </x:c>
      <x:c r="J86" s="10" t="n">
        <x:v>1.519</x:v>
      </x:c>
      <x:c r="K86" s="10" t="n">
        <x:f>(A86-$A$2)/1000</x:f>
        <x:v>42.756</x:v>
      </x:c>
      <x:c r="L86" t="str">
        <x:f>IF(K86&lt;15,"0-15s Stationary",IF(K86&lt;30,"15-30s Movement",IF(K86&lt;45,"30-45s Movement","45-60s Stationary")))</x:f>
        <x:v>30-45s Movement</x:v>
      </x:c>
    </x:row>
    <x:row r="87">
      <x:c r="A87" s="12" t="n">
        <x:v>44579</x:v>
      </x:c>
      <x:c r="B87" s="10" t="n">
        <x:v>0.752</x:v>
      </x:c>
      <x:c r="C87" s="10" t="n">
        <x:v>1.695</x:v>
      </x:c>
      <x:c r="D87" s="10" t="n">
        <x:v>10.851</x:v>
      </x:c>
      <x:c r="E87" s="10" t="n">
        <x:v>0.139</x:v>
      </x:c>
      <x:c r="F87" s="10" t="n">
        <x:v>-0.346</x:v>
      </x:c>
      <x:c r="G87" s="10" t="n">
        <x:v>-0.073</x:v>
      </x:c>
      <x:c r="H87" s="10" t="n">
        <x:v>11.008</x:v>
      </x:c>
      <x:c r="I87" s="12" t="n">
        <x:v>1882</x:v>
      </x:c>
      <x:c r="J87" s="10" t="n">
        <x:v>1.517</x:v>
      </x:c>
      <x:c r="K87" s="10" t="n">
        <x:f>(A87-$A$2)/1000</x:f>
        <x:v>43.259</x:v>
      </x:c>
      <x:c r="L87" t="str">
        <x:f>IF(K87&lt;15,"0-15s Stationary",IF(K87&lt;30,"15-30s Movement",IF(K87&lt;45,"30-45s Movement","45-60s Stationary")))</x:f>
        <x:v>30-45s Movement</x:v>
      </x:c>
    </x:row>
    <x:row r="88">
      <x:c r="A88" s="12" t="n">
        <x:v>45082</x:v>
      </x:c>
      <x:c r="B88" s="10" t="n">
        <x:v>0.989</x:v>
      </x:c>
      <x:c r="C88" s="10" t="n">
        <x:v>0.891</x:v>
      </x:c>
      <x:c r="D88" s="10" t="n">
        <x:v>9.364</x:v>
      </x:c>
      <x:c r="E88" s="10" t="n">
        <x:v>-0.378</x:v>
      </x:c>
      <x:c r="F88" s="10" t="n">
        <x:v>0</x:v>
      </x:c>
      <x:c r="G88" s="10" t="n">
        <x:v>0.028</x:v>
      </x:c>
      <x:c r="H88" s="10" t="n">
        <x:v>9.458</x:v>
      </x:c>
      <x:c r="I88" s="12" t="n">
        <x:v>1889</x:v>
      </x:c>
      <x:c r="J88" s="10" t="n">
        <x:v>1.522</x:v>
      </x:c>
      <x:c r="K88" s="10" t="n">
        <x:f>(A88-$A$2)/1000</x:f>
        <x:v>43.762</x:v>
      </x:c>
      <x:c r="L88" t="str">
        <x:f>IF(K88&lt;15,"0-15s Stationary",IF(K88&lt;30,"15-30s Movement",IF(K88&lt;45,"30-45s Movement","45-60s Stationary")))</x:f>
        <x:v>30-45s Movement</x:v>
      </x:c>
    </x:row>
    <x:row r="89">
      <x:c r="A89" s="12" t="n">
        <x:v>45585</x:v>
      </x:c>
      <x:c r="B89" s="10" t="n">
        <x:v>1.803</x:v>
      </x:c>
      <x:c r="C89" s="10" t="n">
        <x:v>0.716</x:v>
      </x:c>
      <x:c r="D89" s="10" t="n">
        <x:v>5.581</x:v>
      </x:c>
      <x:c r="E89" s="10" t="n">
        <x:v>-0.261</x:v>
      </x:c>
      <x:c r="F89" s="10" t="n">
        <x:v>-0.062</x:v>
      </x:c>
      <x:c r="G89" s="10" t="n">
        <x:v>0.03</x:v>
      </x:c>
      <x:c r="H89" s="10" t="n">
        <x:v>5.908</x:v>
      </x:c>
      <x:c r="I89" s="12" t="n">
        <x:v>1885</x:v>
      </x:c>
      <x:c r="J89" s="10" t="n">
        <x:v>1.519</x:v>
      </x:c>
      <x:c r="K89" s="10" t="n">
        <x:f>(A89-$A$2)/1000</x:f>
        <x:v>44.265</x:v>
      </x:c>
      <x:c r="L89" t="str">
        <x:f>IF(K89&lt;15,"0-15s Stationary",IF(K89&lt;30,"15-30s Movement",IF(K89&lt;45,"30-45s Movement","45-60s Stationary")))</x:f>
        <x:v>30-45s Movement</x:v>
      </x:c>
    </x:row>
    <x:row r="90">
      <x:c r="A90" s="12" t="n">
        <x:v>46088</x:v>
      </x:c>
      <x:c r="B90" s="10" t="n">
        <x:v>1.295</x:v>
      </x:c>
      <x:c r="C90" s="10" t="n">
        <x:v>0.488</x:v>
      </x:c>
      <x:c r="D90" s="10" t="n">
        <x:v>6.201</x:v>
      </x:c>
      <x:c r="E90" s="10" t="n">
        <x:v>-0.036</x:v>
      </x:c>
      <x:c r="F90" s="10" t="n">
        <x:v>-0.005</x:v>
      </x:c>
      <x:c r="G90" s="10" t="n">
        <x:v>0.109</x:v>
      </x:c>
      <x:c r="H90" s="10" t="n">
        <x:v>6.354</x:v>
      </x:c>
      <x:c r="I90" s="12" t="n">
        <x:v>1889</x:v>
      </x:c>
      <x:c r="J90" s="10" t="n">
        <x:v>1.522</x:v>
      </x:c>
      <x:c r="K90" s="10" t="n">
        <x:f>(A90-$A$2)/1000</x:f>
        <x:v>44.768</x:v>
      </x:c>
      <x:c r="L90" t="str">
        <x:f>IF(K90&lt;15,"0-15s Stationary",IF(K90&lt;30,"15-30s Movement",IF(K90&lt;45,"30-45s Movement","45-60s Stationary")))</x:f>
        <x:v>30-45s Movement</x:v>
      </x:c>
    </x:row>
    <x:row r="91">
      <x:c r="A91" s="12" t="n">
        <x:v>46591</x:v>
      </x:c>
      <x:c r="B91" s="10" t="n">
        <x:v>1.429</x:v>
      </x:c>
      <x:c r="C91" s="10" t="n">
        <x:v>0.029</x:v>
      </x:c>
      <x:c r="D91" s="10" t="n">
        <x:v>6.029</x:v>
      </x:c>
      <x:c r="E91" s="10" t="n">
        <x:v>-0.237</x:v>
      </x:c>
      <x:c r="F91" s="10" t="n">
        <x:v>0.016</x:v>
      </x:c>
      <x:c r="G91" s="10" t="n">
        <x:v>0.067</x:v>
      </x:c>
      <x:c r="H91" s="10" t="n">
        <x:v>6.196</x:v>
      </x:c>
      <x:c r="I91" s="12" t="n">
        <x:v>1888</x:v>
      </x:c>
      <x:c r="J91" s="10" t="n">
        <x:v>1.521</x:v>
      </x:c>
      <x:c r="K91" s="10" t="n">
        <x:f>(A91-$A$2)/1000</x:f>
        <x:v>45.271</x:v>
      </x:c>
      <x:c r="L91" t="str">
        <x:f>IF(K91&lt;15,"0-15s Stationary",IF(K91&lt;30,"15-30s Movement",IF(K91&lt;45,"30-45s Movement","45-60s Stationary")))</x:f>
        <x:v>45-60s Stationary</x:v>
      </x:c>
    </x:row>
    <x:row r="92">
      <x:c r="A92" s="12" t="n">
        <x:v>47094</x:v>
      </x:c>
      <x:c r="B92" s="10" t="n">
        <x:v>1.293</x:v>
      </x:c>
      <x:c r="C92" s="10" t="n">
        <x:v>-0.206</x:v>
      </x:c>
      <x:c r="D92" s="10" t="n">
        <x:v>5.478</x:v>
      </x:c>
      <x:c r="E92" s="10" t="n">
        <x:v>-0.114</x:v>
      </x:c>
      <x:c r="F92" s="10" t="n">
        <x:v>-0.074</x:v>
      </x:c>
      <x:c r="G92" s="10" t="n">
        <x:v>-0.024</x:v>
      </x:c>
      <x:c r="H92" s="10" t="n">
        <x:v>5.632</x:v>
      </x:c>
      <x:c r="I92" s="12" t="n">
        <x:v>1879</x:v>
      </x:c>
      <x:c r="J92" s="10" t="n">
        <x:v>1.514</x:v>
      </x:c>
      <x:c r="K92" s="10" t="n">
        <x:f>(A92-$A$2)/1000</x:f>
        <x:v>45.774</x:v>
      </x:c>
      <x:c r="L92" t="str">
        <x:f>IF(K92&lt;15,"0-15s Stationary",IF(K92&lt;30,"15-30s Movement",IF(K92&lt;45,"30-45s Movement","45-60s Stationary")))</x:f>
        <x:v>45-60s Stationary</x:v>
      </x:c>
    </x:row>
    <x:row r="93">
      <x:c r="A93" s="12" t="n">
        <x:v>47597</x:v>
      </x:c>
      <x:c r="B93" s="10" t="n">
        <x:v>1.413</x:v>
      </x:c>
      <x:c r="C93" s="10" t="n">
        <x:v>0.407</x:v>
      </x:c>
      <x:c r="D93" s="10" t="n">
        <x:v>7.472</x:v>
      </x:c>
      <x:c r="E93" s="10" t="n">
        <x:v>0.227</x:v>
      </x:c>
      <x:c r="F93" s="10" t="n">
        <x:v>-0.293</x:v>
      </x:c>
      <x:c r="G93" s="10" t="n">
        <x:v>-0.039</x:v>
      </x:c>
      <x:c r="H93" s="10" t="n">
        <x:v>7.616</x:v>
      </x:c>
      <x:c r="I93" s="12" t="n">
        <x:v>1883</x:v>
      </x:c>
      <x:c r="J93" s="10" t="n">
        <x:v>1.517</x:v>
      </x:c>
      <x:c r="K93" s="10" t="n">
        <x:f>(A93-$A$2)/1000</x:f>
        <x:v>46.277</x:v>
      </x:c>
      <x:c r="L93" t="str">
        <x:f>IF(K93&lt;15,"0-15s Stationary",IF(K93&lt;30,"15-30s Movement",IF(K93&lt;45,"30-45s Movement","45-60s Stationary")))</x:f>
        <x:v>45-60s Stationary</x:v>
      </x:c>
    </x:row>
    <x:row r="94">
      <x:c r="A94" s="12" t="n">
        <x:v>48100</x:v>
      </x:c>
      <x:c r="B94" s="10" t="n">
        <x:v>0.007</x:v>
      </x:c>
      <x:c r="C94" s="10" t="n">
        <x:v>0.45</x:v>
      </x:c>
      <x:c r="D94" s="10" t="n">
        <x:v>8.837</x:v>
      </x:c>
      <x:c r="E94" s="10" t="n">
        <x:v>-0.181</x:v>
      </x:c>
      <x:c r="F94" s="10" t="n">
        <x:v>0.207</x:v>
      </x:c>
      <x:c r="G94" s="10" t="n">
        <x:v>0.074</x:v>
      </x:c>
      <x:c r="H94" s="10" t="n">
        <x:v>8.848</x:v>
      </x:c>
      <x:c r="I94" s="12" t="n">
        <x:v>1875</x:v>
      </x:c>
      <x:c r="J94" s="10" t="n">
        <x:v>1.511</x:v>
      </x:c>
      <x:c r="K94" s="10" t="n">
        <x:f>(A94-$A$2)/1000</x:f>
        <x:v>46.78</x:v>
      </x:c>
      <x:c r="L94" t="str">
        <x:f>IF(K94&lt;15,"0-15s Stationary",IF(K94&lt;30,"15-30s Movement",IF(K94&lt;45,"30-45s Movement","45-60s Stationary")))</x:f>
        <x:v>45-60s Stationary</x:v>
      </x:c>
    </x:row>
    <x:row r="95">
      <x:c r="A95" s="12" t="n">
        <x:v>48603</x:v>
      </x:c>
      <x:c r="B95" s="10" t="n">
        <x:v>0.17</x:v>
      </x:c>
      <x:c r="C95" s="10" t="n">
        <x:v>-0.017</x:v>
      </x:c>
      <x:c r="D95" s="10" t="n">
        <x:v>9.493</x:v>
      </x:c>
      <x:c r="E95" s="10" t="n">
        <x:v>-0.006</x:v>
      </x:c>
      <x:c r="F95" s="10" t="n">
        <x:v>-0.085</x:v>
      </x:c>
      <x:c r="G95" s="10" t="n">
        <x:v>-0.007</x:v>
      </x:c>
      <x:c r="H95" s="10" t="n">
        <x:v>9.495</x:v>
      </x:c>
      <x:c r="I95" s="12" t="n">
        <x:v>1887</x:v>
      </x:c>
      <x:c r="J95" s="10" t="n">
        <x:v>1.521</x:v>
      </x:c>
      <x:c r="K95" s="10" t="n">
        <x:f>(A95-$A$2)/1000</x:f>
        <x:v>47.283</x:v>
      </x:c>
      <x:c r="L95" t="str">
        <x:f>IF(K95&lt;15,"0-15s Stationary",IF(K95&lt;30,"15-30s Movement",IF(K95&lt;45,"30-45s Movement","45-60s Stationary")))</x:f>
        <x:v>45-60s Stationary</x:v>
      </x:c>
    </x:row>
    <x:row r="96">
      <x:c r="A96" s="12" t="n">
        <x:v>49106</x:v>
      </x:c>
      <x:c r="B96" s="10" t="n">
        <x:v>0.17</x:v>
      </x:c>
      <x:c r="C96" s="10" t="n">
        <x:v>-0.017</x:v>
      </x:c>
      <x:c r="D96" s="10" t="n">
        <x:v>9.462</x:v>
      </x:c>
      <x:c r="E96" s="10" t="n">
        <x:v>-0.007</x:v>
      </x:c>
      <x:c r="F96" s="10" t="n">
        <x:v>-0.086</x:v>
      </x:c>
      <x:c r="G96" s="10" t="n">
        <x:v>-0.006</x:v>
      </x:c>
      <x:c r="H96" s="10" t="n">
        <x:v>9.463</x:v>
      </x:c>
      <x:c r="I96" s="12" t="n">
        <x:v>1885</x:v>
      </x:c>
      <x:c r="J96" s="10" t="n">
        <x:v>1.519</x:v>
      </x:c>
      <x:c r="K96" s="10" t="n">
        <x:f>(A96-$A$2)/1000</x:f>
        <x:v>47.786</x:v>
      </x:c>
      <x:c r="L96" t="str">
        <x:f>IF(K96&lt;15,"0-15s Stationary",IF(K96&lt;30,"15-30s Movement",IF(K96&lt;45,"30-45s Movement","45-60s Stationary")))</x:f>
        <x:v>45-60s Stationary</x:v>
      </x:c>
    </x:row>
    <x:row r="97">
      <x:c r="A97" s="12" t="n">
        <x:v>49609</x:v>
      </x:c>
      <x:c r="B97" s="10" t="n">
        <x:v>0.182</x:v>
      </x:c>
      <x:c r="C97" s="10" t="n">
        <x:v>-0.01</x:v>
      </x:c>
      <x:c r="D97" s="10" t="n">
        <x:v>9.498</x:v>
      </x:c>
      <x:c r="E97" s="10" t="n">
        <x:v>-0.006</x:v>
      </x:c>
      <x:c r="F97" s="10" t="n">
        <x:v>-0.084</x:v>
      </x:c>
      <x:c r="G97" s="10" t="n">
        <x:v>-0.006</x:v>
      </x:c>
      <x:c r="H97" s="10" t="n">
        <x:v>9.5</x:v>
      </x:c>
      <x:c r="I97" s="12" t="n">
        <x:v>1878</x:v>
      </x:c>
      <x:c r="J97" s="10" t="n">
        <x:v>1.513</x:v>
      </x:c>
      <x:c r="K97" s="10" t="n">
        <x:f>(A97-$A$2)/1000</x:f>
        <x:v>48.289</x:v>
      </x:c>
      <x:c r="L97" t="str">
        <x:f>IF(K97&lt;15,"0-15s Stationary",IF(K97&lt;30,"15-30s Movement",IF(K97&lt;45,"30-45s Movement","45-60s Stationary")))</x:f>
        <x:v>45-60s Stationary</x:v>
      </x:c>
    </x:row>
    <x:row r="98">
      <x:c r="A98" s="12" t="n">
        <x:v>50112</x:v>
      </x:c>
      <x:c r="B98" s="10" t="n">
        <x:v>0.172</x:v>
      </x:c>
      <x:c r="C98" s="10" t="n">
        <x:v>-0.01</x:v>
      </x:c>
      <x:c r="D98" s="10" t="n">
        <x:v>9.483</x:v>
      </x:c>
      <x:c r="E98" s="10" t="n">
        <x:v>-0.007</x:v>
      </x:c>
      <x:c r="F98" s="10" t="n">
        <x:v>-0.085</x:v>
      </x:c>
      <x:c r="G98" s="10" t="n">
        <x:v>-0.007</x:v>
      </x:c>
      <x:c r="H98" s="10" t="n">
        <x:v>9.485</x:v>
      </x:c>
      <x:c r="I98" s="12" t="n">
        <x:v>1881</x:v>
      </x:c>
      <x:c r="J98" s="10" t="n">
        <x:v>1.516</x:v>
      </x:c>
      <x:c r="K98" s="10" t="n">
        <x:f>(A98-$A$2)/1000</x:f>
        <x:v>48.792</x:v>
      </x:c>
      <x:c r="L98" t="str">
        <x:f>IF(K98&lt;15,"0-15s Stationary",IF(K98&lt;30,"15-30s Movement",IF(K98&lt;45,"30-45s Movement","45-60s Stationary")))</x:f>
        <x:v>45-60s Stationary</x:v>
      </x:c>
    </x:row>
    <x:row r="99">
      <x:c r="A99" s="12" t="n">
        <x:v>50615</x:v>
      </x:c>
      <x:c r="B99" s="10" t="n">
        <x:v>0.175</x:v>
      </x:c>
      <x:c r="C99" s="10" t="n">
        <x:v>-0.019</x:v>
      </x:c>
      <x:c r="D99" s="10" t="n">
        <x:v>9.471</x:v>
      </x:c>
      <x:c r="E99" s="10" t="n">
        <x:v>-0.007</x:v>
      </x:c>
      <x:c r="F99" s="10" t="n">
        <x:v>-0.086</x:v>
      </x:c>
      <x:c r="G99" s="10" t="n">
        <x:v>-0.007</x:v>
      </x:c>
      <x:c r="H99" s="10" t="n">
        <x:v>9.473</x:v>
      </x:c>
      <x:c r="I99" s="12" t="n">
        <x:v>1885</x:v>
      </x:c>
      <x:c r="J99" s="10" t="n">
        <x:v>1.519</x:v>
      </x:c>
      <x:c r="K99" s="10" t="n">
        <x:f>(A99-$A$2)/1000</x:f>
        <x:v>49.295</x:v>
      </x:c>
      <x:c r="L99" t="str">
        <x:f>IF(K99&lt;15,"0-15s Stationary",IF(K99&lt;30,"15-30s Movement",IF(K99&lt;45,"30-45s Movement","45-60s Stationary")))</x:f>
        <x:v>45-60s Stationary</x:v>
      </x:c>
    </x:row>
    <x:row r="100">
      <x:c r="A100" s="12" t="n">
        <x:v>51118</x:v>
      </x:c>
      <x:c r="B100" s="10" t="n">
        <x:v>0.192</x:v>
      </x:c>
      <x:c r="C100" s="10" t="n">
        <x:v>-0.01</x:v>
      </x:c>
      <x:c r="D100" s="10" t="n">
        <x:v>9.483</x:v>
      </x:c>
      <x:c r="E100" s="10" t="n">
        <x:v>-0.007</x:v>
      </x:c>
      <x:c r="F100" s="10" t="n">
        <x:v>-0.085</x:v>
      </x:c>
      <x:c r="G100" s="10" t="n">
        <x:v>-0.005</x:v>
      </x:c>
      <x:c r="H100" s="10" t="n">
        <x:v>9.485</x:v>
      </x:c>
      <x:c r="I100" s="12" t="n">
        <x:v>1886</x:v>
      </x:c>
      <x:c r="J100" s="10" t="n">
        <x:v>1.52</x:v>
      </x:c>
      <x:c r="K100" s="10" t="n">
        <x:f>(A100-$A$2)/1000</x:f>
        <x:v>49.798</x:v>
      </x:c>
      <x:c r="L100" t="str">
        <x:f>IF(K100&lt;15,"0-15s Stationary",IF(K100&lt;30,"15-30s Movement",IF(K100&lt;45,"30-45s Movement","45-60s Stationary")))</x:f>
        <x:v>45-60s Stationary</x:v>
      </x:c>
    </x:row>
    <x:row r="101">
      <x:c r="A101" s="12" t="n">
        <x:v>51621</x:v>
      </x:c>
      <x:c r="B101" s="10" t="n">
        <x:v>0.175</x:v>
      </x:c>
      <x:c r="C101" s="10" t="n">
        <x:v>-0.019</x:v>
      </x:c>
      <x:c r="D101" s="10" t="n">
        <x:v>9.469</x:v>
      </x:c>
      <x:c r="E101" s="10" t="n">
        <x:v>-0.007</x:v>
      </x:c>
      <x:c r="F101" s="10" t="n">
        <x:v>-0.085</x:v>
      </x:c>
      <x:c r="G101" s="10" t="n">
        <x:v>-0.007</x:v>
      </x:c>
      <x:c r="H101" s="10" t="n">
        <x:v>9.471</x:v>
      </x:c>
      <x:c r="I101" s="12" t="n">
        <x:v>1883</x:v>
      </x:c>
      <x:c r="J101" s="10" t="n">
        <x:v>1.517</x:v>
      </x:c>
      <x:c r="K101" s="10" t="n">
        <x:f>(A101-$A$2)/1000</x:f>
        <x:v>50.301</x:v>
      </x:c>
      <x:c r="L101" t="str">
        <x:f>IF(K101&lt;15,"0-15s Stationary",IF(K101&lt;30,"15-30s Movement",IF(K101&lt;45,"30-45s Movement","45-60s Stationary")))</x:f>
        <x:v>45-60s Stationary</x:v>
      </x:c>
    </x:row>
    <x:row r="102">
      <x:c r="A102" s="12" t="n">
        <x:v>52124</x:v>
      </x:c>
      <x:c r="B102" s="10" t="n">
        <x:v>0.168</x:v>
      </x:c>
      <x:c r="C102" s="10" t="n">
        <x:v>-0.022</x:v>
      </x:c>
      <x:c r="D102" s="10" t="n">
        <x:v>9.498</x:v>
      </x:c>
      <x:c r="E102" s="10" t="n">
        <x:v>-0.007</x:v>
      </x:c>
      <x:c r="F102" s="10" t="n">
        <x:v>-0.085</x:v>
      </x:c>
      <x:c r="G102" s="10" t="n">
        <x:v>-0.006</x:v>
      </x:c>
      <x:c r="H102" s="10" t="n">
        <x:v>9.499</x:v>
      </x:c>
      <x:c r="I102" s="12" t="n">
        <x:v>1877</x:v>
      </x:c>
      <x:c r="J102" s="10" t="n">
        <x:v>1.513</x:v>
      </x:c>
      <x:c r="K102" s="10" t="n">
        <x:f>(A102-$A$2)/1000</x:f>
        <x:v>50.804</x:v>
      </x:c>
      <x:c r="L102" t="str">
        <x:f>IF(K102&lt;15,"0-15s Stationary",IF(K102&lt;30,"15-30s Movement",IF(K102&lt;45,"30-45s Movement","45-60s Stationary")))</x:f>
        <x:v>45-60s Stationary</x:v>
      </x:c>
    </x:row>
    <x:row r="103">
      <x:c r="A103" s="12" t="n">
        <x:v>52627</x:v>
      </x:c>
      <x:c r="B103" s="10" t="n">
        <x:v>0.182</x:v>
      </x:c>
      <x:c r="C103" s="10" t="n">
        <x:v>-0.014</x:v>
      </x:c>
      <x:c r="D103" s="10" t="n">
        <x:v>9.479</x:v>
      </x:c>
      <x:c r="E103" s="10" t="n">
        <x:v>-0.007</x:v>
      </x:c>
      <x:c r="F103" s="10" t="n">
        <x:v>-0.085</x:v>
      </x:c>
      <x:c r="G103" s="10" t="n">
        <x:v>-0.007</x:v>
      </x:c>
      <x:c r="H103" s="10" t="n">
        <x:v>9.48</x:v>
      </x:c>
      <x:c r="I103" s="12" t="n">
        <x:v>1888</x:v>
      </x:c>
      <x:c r="J103" s="10" t="n">
        <x:v>1.521</x:v>
      </x:c>
      <x:c r="K103" s="10" t="n">
        <x:f>(A103-$A$2)/1000</x:f>
        <x:v>51.307</x:v>
      </x:c>
      <x:c r="L103" t="str">
        <x:f>IF(K103&lt;15,"0-15s Stationary",IF(K103&lt;30,"15-30s Movement",IF(K103&lt;45,"30-45s Movement","45-60s Stationary")))</x:f>
        <x:v>45-60s Stationary</x:v>
      </x:c>
    </x:row>
    <x:row r="104">
      <x:c r="A104" s="12" t="n">
        <x:v>53130</x:v>
      </x:c>
      <x:c r="B104" s="10" t="n">
        <x:v>0.175</x:v>
      </x:c>
      <x:c r="C104" s="10" t="n">
        <x:v>-0.012</x:v>
      </x:c>
      <x:c r="D104" s="10" t="n">
        <x:v>9.44</x:v>
      </x:c>
      <x:c r="E104" s="10" t="n">
        <x:v>-0.007</x:v>
      </x:c>
      <x:c r="F104" s="10" t="n">
        <x:v>-0.086</x:v>
      </x:c>
      <x:c r="G104" s="10" t="n">
        <x:v>-0.006</x:v>
      </x:c>
      <x:c r="H104" s="10" t="n">
        <x:v>9.442</x:v>
      </x:c>
      <x:c r="I104" s="12" t="n">
        <x:v>1882</x:v>
      </x:c>
      <x:c r="J104" s="10" t="n">
        <x:v>1.517</x:v>
      </x:c>
      <x:c r="K104" s="10" t="n">
        <x:f>(A104-$A$2)/1000</x:f>
        <x:v>51.81</x:v>
      </x:c>
      <x:c r="L104" t="str">
        <x:f>IF(K104&lt;15,"0-15s Stationary",IF(K104&lt;30,"15-30s Movement",IF(K104&lt;45,"30-45s Movement","45-60s Stationary")))</x:f>
        <x:v>45-60s Stationary</x:v>
      </x:c>
    </x:row>
    <x:row r="105">
      <x:c r="A105" s="12" t="n">
        <x:v>53633</x:v>
      </x:c>
      <x:c r="B105" s="10" t="n">
        <x:v>0.175</x:v>
      </x:c>
      <x:c r="C105" s="10" t="n">
        <x:v>-0.017</x:v>
      </x:c>
      <x:c r="D105" s="10" t="n">
        <x:v>9.452</x:v>
      </x:c>
      <x:c r="E105" s="10" t="n">
        <x:v>-0.008</x:v>
      </x:c>
      <x:c r="F105" s="10" t="n">
        <x:v>-0.085</x:v>
      </x:c>
      <x:c r="G105" s="10" t="n">
        <x:v>-0.008</x:v>
      </x:c>
      <x:c r="H105" s="10" t="n">
        <x:v>9.454</x:v>
      </x:c>
      <x:c r="I105" s="12" t="n">
        <x:v>1890</x:v>
      </x:c>
      <x:c r="J105" s="10" t="n">
        <x:v>1.523</x:v>
      </x:c>
      <x:c r="K105" s="10" t="n">
        <x:f>(A105-$A$2)/1000</x:f>
        <x:v>52.313</x:v>
      </x:c>
      <x:c r="L105" t="str">
        <x:f>IF(K105&lt;15,"0-15s Stationary",IF(K105&lt;30,"15-30s Movement",IF(K105&lt;45,"30-45s Movement","45-60s Stationary")))</x:f>
        <x:v>45-60s Stationary</x:v>
      </x:c>
    </x:row>
    <x:row r="106">
      <x:c r="A106" s="12" t="n">
        <x:v>54136</x:v>
      </x:c>
      <x:c r="B106" s="10" t="n">
        <x:v>0.172</x:v>
      </x:c>
      <x:c r="C106" s="10" t="n">
        <x:v>0.005</x:v>
      </x:c>
      <x:c r="D106" s="10" t="n">
        <x:v>9.467</x:v>
      </x:c>
      <x:c r="E106" s="10" t="n">
        <x:v>-0.007</x:v>
      </x:c>
      <x:c r="F106" s="10" t="n">
        <x:v>-0.085</x:v>
      </x:c>
      <x:c r="G106" s="10" t="n">
        <x:v>-0.007</x:v>
      </x:c>
      <x:c r="H106" s="10" t="n">
        <x:v>9.468</x:v>
      </x:c>
      <x:c r="I106" s="12" t="n">
        <x:v>1886</x:v>
      </x:c>
      <x:c r="J106" s="10" t="n">
        <x:v>1.52</x:v>
      </x:c>
      <x:c r="K106" s="10" t="n">
        <x:f>(A106-$A$2)/1000</x:f>
        <x:v>52.816</x:v>
      </x:c>
      <x:c r="L106" t="str">
        <x:f>IF(K106&lt;15,"0-15s Stationary",IF(K106&lt;30,"15-30s Movement",IF(K106&lt;45,"30-45s Movement","45-60s Stationary")))</x:f>
        <x:v>45-60s Stationary</x:v>
      </x:c>
    </x:row>
    <x:row r="107">
      <x:c r="A107" s="12" t="n">
        <x:v>54639</x:v>
      </x:c>
      <x:c r="B107" s="10" t="n">
        <x:v>0.17</x:v>
      </x:c>
      <x:c r="C107" s="10" t="n">
        <x:v>-0.014</x:v>
      </x:c>
      <x:c r="D107" s="10" t="n">
        <x:v>9.474</x:v>
      </x:c>
      <x:c r="E107" s="10" t="n">
        <x:v>-0.007</x:v>
      </x:c>
      <x:c r="F107" s="10" t="n">
        <x:v>-0.086</x:v>
      </x:c>
      <x:c r="G107" s="10" t="n">
        <x:v>-0.007</x:v>
      </x:c>
      <x:c r="H107" s="10" t="n">
        <x:v>9.475</x:v>
      </x:c>
      <x:c r="I107" s="12" t="n">
        <x:v>1887</x:v>
      </x:c>
      <x:c r="J107" s="10" t="n">
        <x:v>1.521</x:v>
      </x:c>
      <x:c r="K107" s="10" t="n">
        <x:f>(A107-$A$2)/1000</x:f>
        <x:v>53.319</x:v>
      </x:c>
      <x:c r="L107" t="str">
        <x:f>IF(K107&lt;15,"0-15s Stationary",IF(K107&lt;30,"15-30s Movement",IF(K107&lt;45,"30-45s Movement","45-60s Stationary")))</x:f>
        <x:v>45-60s Stationary</x:v>
      </x:c>
    </x:row>
    <x:row r="108">
      <x:c r="A108" s="12" t="n">
        <x:v>55142</x:v>
      </x:c>
      <x:c r="B108" s="10" t="n">
        <x:v>0.163</x:v>
      </x:c>
      <x:c r="C108" s="10" t="n">
        <x:v>-0.024</x:v>
      </x:c>
      <x:c r="D108" s="10" t="n">
        <x:v>9.467</x:v>
      </x:c>
      <x:c r="E108" s="10" t="n">
        <x:v>-0.007</x:v>
      </x:c>
      <x:c r="F108" s="10" t="n">
        <x:v>-0.085</x:v>
      </x:c>
      <x:c r="G108" s="10" t="n">
        <x:v>-0.006</x:v>
      </x:c>
      <x:c r="H108" s="10" t="n">
        <x:v>9.468</x:v>
      </x:c>
      <x:c r="I108" s="12" t="n">
        <x:v>1887</x:v>
      </x:c>
      <x:c r="J108" s="10" t="n">
        <x:v>1.521</x:v>
      </x:c>
      <x:c r="K108" s="10" t="n">
        <x:f>(A108-$A$2)/1000</x:f>
        <x:v>53.822</x:v>
      </x:c>
      <x:c r="L108" t="str">
        <x:f>IF(K108&lt;15,"0-15s Stationary",IF(K108&lt;30,"15-30s Movement",IF(K108&lt;45,"30-45s Movement","45-60s Stationary")))</x:f>
        <x:v>45-60s Stationary</x:v>
      </x:c>
    </x:row>
    <x:row r="109">
      <x:c r="A109" s="12" t="n">
        <x:v>55645</x:v>
      </x:c>
      <x:c r="B109" s="10" t="n">
        <x:v>0.187</x:v>
      </x:c>
      <x:c r="C109" s="10" t="n">
        <x:v>-0.022</x:v>
      </x:c>
      <x:c r="D109" s="10" t="n">
        <x:v>9.479</x:v>
      </x:c>
      <x:c r="E109" s="10" t="n">
        <x:v>-0.007</x:v>
      </x:c>
      <x:c r="F109" s="10" t="n">
        <x:v>-0.086</x:v>
      </x:c>
      <x:c r="G109" s="10" t="n">
        <x:v>-0.006</x:v>
      </x:c>
      <x:c r="H109" s="10" t="n">
        <x:v>9.481</x:v>
      </x:c>
      <x:c r="I109" s="12" t="n">
        <x:v>1879</x:v>
      </x:c>
      <x:c r="J109" s="10" t="n">
        <x:v>1.514</x:v>
      </x:c>
      <x:c r="K109" s="10" t="n">
        <x:f>(A109-$A$2)/1000</x:f>
        <x:v>54.325</x:v>
      </x:c>
      <x:c r="L109" t="str">
        <x:f>IF(K109&lt;15,"0-15s Stationary",IF(K109&lt;30,"15-30s Movement",IF(K109&lt;45,"30-45s Movement","45-60s Stationary")))</x:f>
        <x:v>45-60s Stationary</x:v>
      </x:c>
    </x:row>
    <x:row r="110">
      <x:c r="A110" s="12" t="n">
        <x:v>56148</x:v>
      </x:c>
      <x:c r="B110" s="10" t="n">
        <x:v>0.182</x:v>
      </x:c>
      <x:c r="C110" s="10" t="n">
        <x:v>-0.007</x:v>
      </x:c>
      <x:c r="D110" s="10" t="n">
        <x:v>9.512</x:v>
      </x:c>
      <x:c r="E110" s="10" t="n">
        <x:v>-0.008</x:v>
      </x:c>
      <x:c r="F110" s="10" t="n">
        <x:v>-0.085</x:v>
      </x:c>
      <x:c r="G110" s="10" t="n">
        <x:v>-0.006</x:v>
      </x:c>
      <x:c r="H110" s="10" t="n">
        <x:v>9.514</x:v>
      </x:c>
      <x:c r="I110" s="12" t="n">
        <x:v>1891</x:v>
      </x:c>
      <x:c r="J110" s="10" t="n">
        <x:v>1.524</x:v>
      </x:c>
      <x:c r="K110" s="10" t="n">
        <x:f>(A110-$A$2)/1000</x:f>
        <x:v>54.828</x:v>
      </x:c>
      <x:c r="L110" t="str">
        <x:f>IF(K110&lt;15,"0-15s Stationary",IF(K110&lt;30,"15-30s Movement",IF(K110&lt;45,"30-45s Movement","45-60s Stationary")))</x:f>
        <x:v>45-60s Stationary</x:v>
      </x:c>
    </x:row>
    <x:row r="111">
      <x:c r="A111" s="12" t="n">
        <x:v>56651</x:v>
      </x:c>
      <x:c r="B111" s="10" t="n">
        <x:v>0.168</x:v>
      </x:c>
      <x:c r="C111" s="10" t="n">
        <x:v>-0.01</x:v>
      </x:c>
      <x:c r="D111" s="10" t="n">
        <x:v>9.452</x:v>
      </x:c>
      <x:c r="E111" s="10" t="n">
        <x:v>-0.007</x:v>
      </x:c>
      <x:c r="F111" s="10" t="n">
        <x:v>-0.085</x:v>
      </x:c>
      <x:c r="G111" s="10" t="n">
        <x:v>-0.006</x:v>
      </x:c>
      <x:c r="H111" s="10" t="n">
        <x:v>9.454</x:v>
      </x:c>
      <x:c r="I111" s="12" t="n">
        <x:v>1890</x:v>
      </x:c>
      <x:c r="J111" s="10" t="n">
        <x:v>1.523</x:v>
      </x:c>
      <x:c r="K111" s="10" t="n">
        <x:f>(A111-$A$2)/1000</x:f>
        <x:v>55.331</x:v>
      </x:c>
      <x:c r="L111" t="str">
        <x:f>IF(K111&lt;15,"0-15s Stationary",IF(K111&lt;30,"15-30s Movement",IF(K111&lt;45,"30-45s Movement","45-60s Stationary")))</x:f>
        <x:v>45-60s Stationary</x:v>
      </x:c>
    </x:row>
    <x:row r="112">
      <x:c r="A112" s="12" t="n">
        <x:v>57154</x:v>
      </x:c>
      <x:c r="B112" s="10" t="n">
        <x:v>0.168</x:v>
      </x:c>
      <x:c r="C112" s="10" t="n">
        <x:v>-0.014</x:v>
      </x:c>
      <x:c r="D112" s="10" t="n">
        <x:v>9.452</x:v>
      </x:c>
      <x:c r="E112" s="10" t="n">
        <x:v>-0.007</x:v>
      </x:c>
      <x:c r="F112" s="10" t="n">
        <x:v>-0.085</x:v>
      </x:c>
      <x:c r="G112" s="10" t="n">
        <x:v>-0.006</x:v>
      </x:c>
      <x:c r="H112" s="10" t="n">
        <x:v>9.454</x:v>
      </x:c>
      <x:c r="I112" s="12" t="n">
        <x:v>1875</x:v>
      </x:c>
      <x:c r="J112" s="10" t="n">
        <x:v>1.511</x:v>
      </x:c>
      <x:c r="K112" s="10" t="n">
        <x:f>(A112-$A$2)/1000</x:f>
        <x:v>55.834</x:v>
      </x:c>
      <x:c r="L112" t="str">
        <x:f>IF(K112&lt;15,"0-15s Stationary",IF(K112&lt;30,"15-30s Movement",IF(K112&lt;45,"30-45s Movement","45-60s Stationary")))</x:f>
        <x:v>45-60s Stationary</x:v>
      </x:c>
    </x:row>
    <x:row r="113">
      <x:c r="A113" s="12" t="n">
        <x:v>57657</x:v>
      </x:c>
      <x:c r="B113" s="10" t="n">
        <x:v>0.177</x:v>
      </x:c>
      <x:c r="C113" s="10" t="n">
        <x:v>-0.017</x:v>
      </x:c>
      <x:c r="D113" s="10" t="n">
        <x:v>9.462</x:v>
      </x:c>
      <x:c r="E113" s="10" t="n">
        <x:v>-0.007</x:v>
      </x:c>
      <x:c r="F113" s="10" t="n">
        <x:v>-0.085</x:v>
      </x:c>
      <x:c r="G113" s="10" t="n">
        <x:v>-0.006</x:v>
      </x:c>
      <x:c r="H113" s="10" t="n">
        <x:v>9.464</x:v>
      </x:c>
      <x:c r="I113" s="12" t="n">
        <x:v>1878</x:v>
      </x:c>
      <x:c r="J113" s="10" t="n">
        <x:v>1.513</x:v>
      </x:c>
      <x:c r="K113" s="10" t="n">
        <x:f>(A113-$A$2)/1000</x:f>
        <x:v>56.337</x:v>
      </x:c>
      <x:c r="L113" t="str">
        <x:f>IF(K113&lt;15,"0-15s Stationary",IF(K113&lt;30,"15-30s Movement",IF(K113&lt;45,"30-45s Movement","45-60s Stationary")))</x:f>
        <x:v>45-60s Stationary</x:v>
      </x:c>
    </x:row>
    <x:row r="114">
      <x:c r="A114" s="12" t="n">
        <x:v>58160</x:v>
      </x:c>
      <x:c r="B114" s="10" t="n">
        <x:v>0.189</x:v>
      </x:c>
      <x:c r="C114" s="10" t="n">
        <x:v>-0.014</x:v>
      </x:c>
      <x:c r="D114" s="10" t="n">
        <x:v>9.457</x:v>
      </x:c>
      <x:c r="E114" s="10" t="n">
        <x:v>-0.007</x:v>
      </x:c>
      <x:c r="F114" s="10" t="n">
        <x:v>-0.086</x:v>
      </x:c>
      <x:c r="G114" s="10" t="n">
        <x:v>-0.006</x:v>
      </x:c>
      <x:c r="H114" s="10" t="n">
        <x:v>9.459</x:v>
      </x:c>
      <x:c r="I114" s="12" t="n">
        <x:v>1884</x:v>
      </x:c>
      <x:c r="J114" s="10" t="n">
        <x:v>1.518</x:v>
      </x:c>
      <x:c r="K114" s="10" t="n">
        <x:f>(A114-$A$2)/1000</x:f>
        <x:v>56.84</x:v>
      </x:c>
      <x:c r="L114" t="str">
        <x:f>IF(K114&lt;15,"0-15s Stationary",IF(K114&lt;30,"15-30s Movement",IF(K114&lt;45,"30-45s Movement","45-60s Stationary")))</x:f>
        <x:v>45-60s Stationary</x:v>
      </x:c>
    </x:row>
    <x:row r="115">
      <x:c r="A115" s="12" t="n">
        <x:v>58663</x:v>
      </x:c>
      <x:c r="B115" s="10" t="n">
        <x:v>0.18</x:v>
      </x:c>
      <x:c r="C115" s="10" t="n">
        <x:v>-0.012</x:v>
      </x:c>
      <x:c r="D115" s="10" t="n">
        <x:v>9.471</x:v>
      </x:c>
      <x:c r="E115" s="10" t="n">
        <x:v>-0.007</x:v>
      </x:c>
      <x:c r="F115" s="10" t="n">
        <x:v>-0.086</x:v>
      </x:c>
      <x:c r="G115" s="10" t="n">
        <x:v>-0.007</x:v>
      </x:c>
      <x:c r="H115" s="10" t="n">
        <x:v>9.473</x:v>
      </x:c>
      <x:c r="I115" s="12" t="n">
        <x:v>1877</x:v>
      </x:c>
      <x:c r="J115" s="10" t="n">
        <x:v>1.513</x:v>
      </x:c>
      <x:c r="K115" s="10" t="n">
        <x:f>(A115-$A$2)/1000</x:f>
        <x:v>57.343</x:v>
      </x:c>
      <x:c r="L115" t="str">
        <x:f>IF(K115&lt;15,"0-15s Stationary",IF(K115&lt;30,"15-30s Movement",IF(K115&lt;45,"30-45s Movement","45-60s Stationary")))</x:f>
        <x:v>45-60s Stationary</x:v>
      </x:c>
    </x:row>
    <x:row r="116">
      <x:c r="A116" s="12" t="n">
        <x:v>59166</x:v>
      </x:c>
      <x:c r="B116" s="10" t="n">
        <x:v>0.187</x:v>
      </x:c>
      <x:c r="C116" s="10" t="n">
        <x:v>-0.014</x:v>
      </x:c>
      <x:c r="D116" s="10" t="n">
        <x:v>9.431</x:v>
      </x:c>
      <x:c r="E116" s="10" t="n">
        <x:v>-0.007</x:v>
      </x:c>
      <x:c r="F116" s="10" t="n">
        <x:v>-0.085</x:v>
      </x:c>
      <x:c r="G116" s="10" t="n">
        <x:v>-0.006</x:v>
      </x:c>
      <x:c r="H116" s="10" t="n">
        <x:v>9.433</x:v>
      </x:c>
      <x:c r="I116" s="12" t="n">
        <x:v>1883</x:v>
      </x:c>
      <x:c r="J116" s="10" t="n">
        <x:v>1.517</x:v>
      </x:c>
      <x:c r="K116" s="10" t="n">
        <x:f>(A116-$A$2)/1000</x:f>
        <x:v>57.846</x:v>
      </x:c>
      <x:c r="L116" t="str">
        <x:f>IF(K116&lt;15,"0-15s Stationary",IF(K116&lt;30,"15-30s Movement",IF(K116&lt;45,"30-45s Movement","45-60s Stationary")))</x:f>
        <x:v>45-60s Stationary</x:v>
      </x:c>
    </x:row>
    <x:row r="117">
      <x:c r="A117" s="12" t="n">
        <x:v>59669</x:v>
      </x:c>
      <x:c r="B117" s="10" t="n">
        <x:v>0.182</x:v>
      </x:c>
      <x:c r="C117" s="10" t="n">
        <x:v>0</x:v>
      </x:c>
      <x:c r="D117" s="10" t="n">
        <x:v>9.474</x:v>
      </x:c>
      <x:c r="E117" s="10" t="n">
        <x:v>-0.006</x:v>
      </x:c>
      <x:c r="F117" s="10" t="n">
        <x:v>-0.085</x:v>
      </x:c>
      <x:c r="G117" s="10" t="n">
        <x:v>-0.006</x:v>
      </x:c>
      <x:c r="H117" s="10" t="n">
        <x:v>9.476</x:v>
      </x:c>
      <x:c r="I117" s="12" t="n">
        <x:v>1883</x:v>
      </x:c>
      <x:c r="J117" s="10" t="n">
        <x:v>1.517</x:v>
      </x:c>
      <x:c r="K117" s="10" t="n">
        <x:f>(A117-$A$2)/1000</x:f>
        <x:v>58.349</x:v>
      </x:c>
      <x:c r="L117" t="str">
        <x:f>IF(K117&lt;15,"0-15s Stationary",IF(K117&lt;30,"15-30s Movement",IF(K117&lt;45,"30-45s Movement","45-60s Stationary")))</x:f>
        <x:v>45-60s Stationary</x:v>
      </x:c>
    </x:row>
    <x:row r="118">
      <x:c r="A118" s="12" t="n">
        <x:v>60172</x:v>
      </x:c>
      <x:c r="B118" s="10" t="n">
        <x:v>0.194</x:v>
      </x:c>
      <x:c r="C118" s="10" t="n">
        <x:v>-0.014</x:v>
      </x:c>
      <x:c r="D118" s="10" t="n">
        <x:v>9.467</x:v>
      </x:c>
      <x:c r="E118" s="10" t="n">
        <x:v>-0.007</x:v>
      </x:c>
      <x:c r="F118" s="10" t="n">
        <x:v>-0.086</x:v>
      </x:c>
      <x:c r="G118" s="10" t="n">
        <x:v>-0.007</x:v>
      </x:c>
      <x:c r="H118" s="10" t="n">
        <x:v>9.469</x:v>
      </x:c>
      <x:c r="I118" s="12" t="n">
        <x:v>1885</x:v>
      </x:c>
      <x:c r="J118" s="10" t="n">
        <x:v>1.519</x:v>
      </x:c>
      <x:c r="K118" s="10" t="n">
        <x:f>(A118-$A$2)/1000</x:f>
        <x:v>58.852</x:v>
      </x:c>
      <x:c r="L118" t="str">
        <x:f>IF(K118&lt;15,"0-15s Stationary",IF(K118&lt;30,"15-30s Movement",IF(K118&lt;45,"30-45s Movement","45-60s Stationary")))</x:f>
        <x:v>45-60s Stationary</x:v>
      </x:c>
    </x:row>
    <x:row r="119">
      <x:c r="A119" s="12" t="n">
        <x:v>60675</x:v>
      </x:c>
      <x:c r="B119" s="10" t="n">
        <x:v>0.182</x:v>
      </x:c>
      <x:c r="C119" s="10" t="n">
        <x:v>-0.01</x:v>
      </x:c>
      <x:c r="D119" s="10" t="n">
        <x:v>9.471</x:v>
      </x:c>
      <x:c r="E119" s="10" t="n">
        <x:v>-0.007</x:v>
      </x:c>
      <x:c r="F119" s="10" t="n">
        <x:v>-0.086</x:v>
      </x:c>
      <x:c r="G119" s="10" t="n">
        <x:v>-0.007</x:v>
      </x:c>
      <x:c r="H119" s="10" t="n">
        <x:v>9.473</x:v>
      </x:c>
      <x:c r="I119" s="12" t="n">
        <x:v>1882</x:v>
      </x:c>
      <x:c r="J119" s="10" t="n">
        <x:v>1.517</x:v>
      </x:c>
      <x:c r="K119" s="10" t="n">
        <x:f>(A119-$A$2)/1000</x:f>
        <x:v>59.355</x:v>
      </x:c>
      <x:c r="L119" t="str">
        <x:f>IF(K119&lt;15,"0-15s Stationary",IF(K119&lt;30,"15-30s Movement",IF(K119&lt;45,"30-45s Movement","45-60s Stationary")))</x:f>
        <x:v>45-60s Stationary</x:v>
      </x:c>
    </x:row>
    <x:row r="120">
      <x:c r="A120" s="12" t="n">
        <x:v>61178</x:v>
      </x:c>
      <x:c r="B120" s="10" t="n">
        <x:v>0.163</x:v>
      </x:c>
      <x:c r="C120" s="10" t="n">
        <x:v>-0.014</x:v>
      </x:c>
      <x:c r="D120" s="10" t="n">
        <x:v>9.5</x:v>
      </x:c>
      <x:c r="E120" s="10" t="n">
        <x:v>-0.007</x:v>
      </x:c>
      <x:c r="F120" s="10" t="n">
        <x:v>-0.085</x:v>
      </x:c>
      <x:c r="G120" s="10" t="n">
        <x:v>-0.007</x:v>
      </x:c>
      <x:c r="H120" s="10" t="n">
        <x:v>9.502</x:v>
      </x:c>
      <x:c r="I120" s="12" t="n">
        <x:v>1879</x:v>
      </x:c>
      <x:c r="J120" s="10" t="n">
        <x:v>1.514</x:v>
      </x:c>
      <x:c r="K120" s="10" t="n">
        <x:f>(A120-$A$2)/1000</x:f>
        <x:v>59.858</x:v>
      </x:c>
      <x:c r="L120" t="str">
        <x:f>IF(K120&lt;15,"0-15s Stationary",IF(K120&lt;30,"15-30s Movement",IF(K120&lt;45,"30-45s Movement","45-60s Stationary")))</x:f>
        <x:v>45-60s Stationary</x:v>
      </x:c>
    </x:row>
    <x:row r="121">
      <x:c r="A121" s="12" t="n">
        <x:v>61681</x:v>
      </x:c>
      <x:c r="B121" s="10" t="n">
        <x:v>0.175</x:v>
      </x:c>
      <x:c r="C121" s="10" t="n">
        <x:v>-0.012</x:v>
      </x:c>
      <x:c r="D121" s="10" t="n">
        <x:v>9.459</x:v>
      </x:c>
      <x:c r="E121" s="10" t="n">
        <x:v>-0.007</x:v>
      </x:c>
      <x:c r="F121" s="10" t="n">
        <x:v>-0.085</x:v>
      </x:c>
      <x:c r="G121" s="10" t="n">
        <x:v>-0.007</x:v>
      </x:c>
      <x:c r="H121" s="10" t="n">
        <x:v>9.461</x:v>
      </x:c>
      <x:c r="I121" s="12" t="n">
        <x:v>1881</x:v>
      </x:c>
      <x:c r="J121" s="10" t="n">
        <x:v>1.516</x:v>
      </x:c>
      <x:c r="K121" s="10" t="n">
        <x:f>(A121-$A$2)/1000</x:f>
        <x:v>60.361</x:v>
      </x:c>
      <x:c r="L121" t="str">
        <x:f>IF(K121&lt;15,"0-15s Stationary",IF(K121&lt;30,"15-30s Movement",IF(K121&lt;45,"30-45s Movement","45-60s Stationary")))</x:f>
        <x:v>45-60s Stationary</x:v>
      </x:c>
    </x:row>
    <x:row r="122">
      <x:c r="A122" s="12" t="n">
        <x:v>62184</x:v>
      </x:c>
      <x:c r="B122" s="10" t="n">
        <x:v>0.177</x:v>
      </x:c>
      <x:c r="C122" s="10" t="n">
        <x:v>-0.019</x:v>
      </x:c>
      <x:c r="D122" s="10" t="n">
        <x:v>9.491</x:v>
      </x:c>
      <x:c r="E122" s="10" t="n">
        <x:v>-0.007</x:v>
      </x:c>
      <x:c r="F122" s="10" t="n">
        <x:v>-0.086</x:v>
      </x:c>
      <x:c r="G122" s="10" t="n">
        <x:v>-0.007</x:v>
      </x:c>
      <x:c r="H122" s="10" t="n">
        <x:v>9.492</x:v>
      </x:c>
      <x:c r="I122" s="12" t="n">
        <x:v>1889</x:v>
      </x:c>
      <x:c r="J122" s="10" t="n">
        <x:v>1.522</x:v>
      </x:c>
      <x:c r="K122" s="10" t="n">
        <x:f>(A122-$A$2)/1000</x:f>
        <x:v>60.864</x:v>
      </x:c>
      <x:c r="L122" t="str">
        <x:f>IF(K122&lt;15,"0-15s Stationary",IF(K122&lt;30,"15-30s Movement",IF(K122&lt;45,"30-45s Movement","45-60s Stationary")))</x:f>
        <x:v>45-60s Stationary</x:v>
      </x:c>
    </x:row>
    <x:row r="123">
      <x:c r="A123" s="12" t="n">
        <x:v>62687</x:v>
      </x:c>
      <x:c r="B123" s="10" t="n">
        <x:v>0.192</x:v>
      </x:c>
      <x:c r="C123" s="10" t="n">
        <x:v>-0.007</x:v>
      </x:c>
      <x:c r="D123" s="10" t="n">
        <x:v>9.452</x:v>
      </x:c>
      <x:c r="E123" s="10" t="n">
        <x:v>-0.007</x:v>
      </x:c>
      <x:c r="F123" s="10" t="n">
        <x:v>-0.085</x:v>
      </x:c>
      <x:c r="G123" s="10" t="n">
        <x:v>-0.007</x:v>
      </x:c>
      <x:c r="H123" s="10" t="n">
        <x:v>9.454</x:v>
      </x:c>
      <x:c r="I123" s="12" t="n">
        <x:v>1888</x:v>
      </x:c>
      <x:c r="J123" s="10" t="n">
        <x:v>1.521</x:v>
      </x:c>
      <x:c r="K123" s="10" t="n">
        <x:f>(A123-$A$2)/1000</x:f>
        <x:v>61.367</x:v>
      </x:c>
      <x:c r="L123" t="str">
        <x:f>IF(K123&lt;15,"0-15s Stationary",IF(K123&lt;30,"15-30s Movement",IF(K123&lt;45,"30-45s Movement","45-60s Stationary")))</x:f>
        <x:v>45-60s Stationary</x:v>
      </x:c>
    </x:row>
    <x:row r="124">
      <x:c r="A124" s="12" t="n">
        <x:v>63190</x:v>
      </x:c>
      <x:c r="B124" s="10" t="n">
        <x:v>0.194</x:v>
      </x:c>
      <x:c r="C124" s="10" t="n">
        <x:v>-0.024</x:v>
      </x:c>
      <x:c r="D124" s="10" t="n">
        <x:v>9.488</x:v>
      </x:c>
      <x:c r="E124" s="10" t="n">
        <x:v>-0.008</x:v>
      </x:c>
      <x:c r="F124" s="10" t="n">
        <x:v>-0.085</x:v>
      </x:c>
      <x:c r="G124" s="10" t="n">
        <x:v>-0.007</x:v>
      </x:c>
      <x:c r="H124" s="10" t="n">
        <x:v>9.49</x:v>
      </x:c>
      <x:c r="I124" s="12" t="n">
        <x:v>1893</x:v>
      </x:c>
      <x:c r="J124" s="10" t="n">
        <x:v>1.525</x:v>
      </x:c>
      <x:c r="K124" s="10" t="n">
        <x:f>(A124-$A$2)/1000</x:f>
        <x:v>61.87</x:v>
      </x:c>
      <x:c r="L124" t="str">
        <x:f>IF(K124&lt;15,"0-15s Stationary",IF(K124&lt;30,"15-30s Movement",IF(K124&lt;45,"30-45s Movement","45-60s Stationary")))</x:f>
        <x:v>45-60s Stationary</x:v>
      </x:c>
    </x:row>
  </x:sheetData>
  <x:pageMargins left="0.7" right="0.7" top="0.75" bottom="0.75" header="0.3" footer="0.3"/>
  <x:tableParts count="1">
    <x:tablePart xmlns:r="http://schemas.openxmlformats.org/officeDocument/2006/relationships" r:id="R2f323d8efc034ef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.539999961853027" hidden="0" customWidth="1"/>
    <x:col min="2" max="2" width="5.110000133514404" hidden="0" customWidth="1"/>
    <x:col min="3" max="3" width="4.309999942779541" hidden="0" customWidth="1"/>
    <x:col min="5" max="5" width="16.81999969482422" hidden="0" customWidth="1"/>
    <x:col min="4" max="4" width="6.730000019073486" hidden="0" customWidth="1"/>
    <x:col min="6" max="6" width="17.360000610351562" hidden="0" customWidth="1"/>
    <x:col min="7" max="7" width="15.880000114440918" hidden="0" customWidth="1"/>
  </x:cols>
  <x:sheetData>
    <x:row r="1" ht="22" customHeight="1">
      <x:c r="A1" s="17" t="str">
        <x:v>Integrated ESP32 Telemetry Test Summary</x:v>
      </x:c>
    </x:row>
    <x:row r="3">
      <x:c r="A3" s="5" t="str">
        <x:v>Item</x:v>
      </x:c>
      <x:c r="B3" s="5" t="str">
        <x:v>Value</x:v>
      </x:c>
      <x:c r="C3" s="5" t="str">
        <x:v>Unit / Note</x:v>
      </x:c>
      <x:c r="D3" s="5" t="str"/>
      <x:c r="E3" s="5" t="str">
        <x:v>Project interpretation</x:v>
      </x:c>
      <x:c r="F3" s="5" t="str"/>
    </x:row>
    <x:row r="4">
      <x:c r="A4" s="22" t="str">
        <x:v>Number of samples</x:v>
      </x:c>
      <x:c r="B4" s="10" t="n">
        <x:f>COUNTA(Integrated_Data!A2:A124)</x:f>
        <x:v>123</x:v>
      </x:c>
      <x:c r="C4" t="str">
        <x:v>rows</x:v>
      </x:c>
      <x:c r="D4" t="str"/>
      <x:c r="E4" s="24" t="str">
        <x:v>123 readings were captured at about 0.5 s intervals.</x:v>
      </x:c>
      <x:c r="F4" t="str"/>
    </x:row>
    <x:row r="5">
      <x:c r="A5" s="22" t="str">
        <x:v>Start time</x:v>
      </x:c>
      <x:c r="B5" s="10" t="n">
        <x:f>MIN(Integrated_Data!A2:A124)</x:f>
        <x:v>1320</x:v>
      </x:c>
      <x:c r="C5" t="str">
        <x:v>ms</x:v>
      </x:c>
      <x:c r="D5" t="str"/>
      <x:c r="E5" s="24" t="str">
        <x:v>ESP32 timestamp at first copied row.</x:v>
      </x:c>
      <x:c r="F5" t="str"/>
    </x:row>
    <x:row r="6">
      <x:c r="A6" s="22" t="str">
        <x:v>End time</x:v>
      </x:c>
      <x:c r="B6" s="10" t="n">
        <x:f>MAX(Integrated_Data!A2:A124)</x:f>
        <x:v>63190</x:v>
      </x:c>
      <x:c r="C6" t="str">
        <x:v>ms</x:v>
      </x:c>
      <x:c r="D6" t="str"/>
      <x:c r="E6" s="24" t="str">
        <x:v>ESP32 timestamp at final copied row.</x:v>
      </x:c>
      <x:c r="F6" t="str"/>
    </x:row>
    <x:row r="7">
      <x:c r="A7" s="22" t="str">
        <x:v>Duration</x:v>
      </x:c>
      <x:c r="B7" s="10" t="e">
        <x:f>(B4-B3)/1000</x:f>
      </x:c>
      <x:c r="C7" t="str">
        <x:v>s</x:v>
      </x:c>
      <x:c r="D7" t="str"/>
      <x:c r="E7" s="24" t="str">
        <x:v>The dataset covers about 61.87 s based on ESP32 timestamps.</x:v>
      </x:c>
      <x:c r="F7" t="str"/>
    </x:row>
    <x:row r="8">
      <x:c r="A8" s="22" t="str">
        <x:v>Average sampling interval</x:v>
      </x:c>
      <x:c r="B8" s="10" t="n">
        <x:f>B5/(B2-1)</x:f>
        <x:v>-1320</x:v>
      </x:c>
      <x:c r="C8" t="str">
        <x:v>s/sample</x:v>
      </x:c>
      <x:c r="D8" t="str"/>
      <x:c r="E8" s="24" t="str">
        <x:v>Close to the 500 ms delay in the Arduino code.</x:v>
      </x:c>
      <x:c r="F8" t="str"/>
    </x:row>
    <x:row r="9">
      <x:c r="A9" s="22" t="str">
        <x:v>Acceleration magnitude min</x:v>
      </x:c>
      <x:c r="B9" s="10" t="n">
        <x:f>MIN(Integrated_Data!H2:H124)</x:f>
        <x:v>5.093</x:v>
      </x:c>
      <x:c r="C9" t="str">
        <x:v>m s^-2</x:v>
      </x:c>
      <x:c r="D9" t="str"/>
      <x:c r="E9" s="24" t="str">
        <x:v>Stationary readings are close to gravitational acceleration; movement phase shows large variation.</x:v>
      </x:c>
      <x:c r="F9" t="str"/>
    </x:row>
    <x:row r="10">
      <x:c r="A10" s="22" t="str">
        <x:v>Acceleration magnitude max</x:v>
      </x:c>
      <x:c r="B10" s="10" t="n">
        <x:f>MAX(Integrated_Data!H2:H124)</x:f>
        <x:v>15.619</x:v>
      </x:c>
      <x:c r="C10" t="str">
        <x:v>m s^-2</x:v>
      </x:c>
      <x:c r="D10" t="str"/>
      <x:c r="E10" s="24" t="str">
        <x:v>Peak values occur during intentional movement.</x:v>
      </x:c>
      <x:c r="F10" t="str"/>
    </x:row>
    <x:row r="11">
      <x:c r="A11" s="22" t="str">
        <x:v>Acceleration magnitude average</x:v>
      </x:c>
      <x:c r="B11" s="10" t="n">
        <x:f>AVERAGE(Integrated_Data!H2:H124)</x:f>
        <x:v>9.596764227642272</x:v>
      </x:c>
      <x:c r="C11" t="str">
        <x:v>m s^-2</x:v>
      </x:c>
      <x:c r="D11" t="str"/>
      <x:c r="E11" s="24" t="str">
        <x:v>Average is affected by the movement phases.</x:v>
      </x:c>
      <x:c r="F11" t="str"/>
    </x:row>
    <x:row r="12">
      <x:c r="A12" s="22" t="str">
        <x:v>INA240 OUT voltage min</x:v>
      </x:c>
      <x:c r="B12" s="10" t="n">
        <x:f>MIN(Integrated_Data!J2:J124)</x:f>
        <x:v>1.508</x:v>
      </x:c>
      <x:c r="C12" t="str">
        <x:v>V</x:v>
      </x:c>
      <x:c r="D12" t="str"/>
      <x:c r="E12" s="24" t="str">
        <x:v>Analog current-sensor output stayed near the 1.51–1.53 V baseline.</x:v>
      </x:c>
      <x:c r="F12" t="str"/>
    </x:row>
    <x:row r="13">
      <x:c r="A13" s="22" t="str">
        <x:v>INA240 OUT voltage max</x:v>
      </x:c>
      <x:c r="B13" s="10" t="n">
        <x:f>MAX(Integrated_Data!J2:J124)</x:f>
        <x:v>1.53</x:v>
      </x:c>
      <x:c r="C13" t="str">
        <x:v>V</x:v>
      </x:c>
      <x:c r="D13" t="str"/>
      <x:c r="E13" s="24" t="str">
        <x:v>Small variation indicates stable analog acquisition.</x:v>
      </x:c>
      <x:c r="F13" t="str"/>
    </x:row>
    <x:row r="14">
      <x:c r="A14" s="22" t="str">
        <x:v>INA240 OUT voltage average</x:v>
      </x:c>
      <x:c r="B14" s="10" t="n">
        <x:f>AVERAGE(Integrated_Data!J2:J124)</x:f>
        <x:v>1.5185284552845517</x:v>
      </x:c>
      <x:c r="C14" t="str">
        <x:v>V</x:v>
      </x:c>
      <x:c r="D14" t="str"/>
      <x:c r="E14" s="24" t="str">
        <x:v>Used as baseline analog output for later calibration.</x:v>
      </x:c>
      <x:c r="F14" t="str"/>
    </x:row>
    <x:row r="15">
      <x:c r="A15" s="22" t="str">
        <x:v>INA240 voltage range</x:v>
      </x:c>
      <x:c r="B15" s="10" t="n">
        <x:f>B11-B10</x:f>
        <x:v>-6.022235772357728</x:v>
      </x:c>
      <x:c r="C15" t="str">
        <x:v>V</x:v>
      </x:c>
      <x:c r="D15" t="str"/>
      <x:c r="E15" s="24" t="str">
        <x:v>This is the recorded output spread during the integrated test.</x:v>
      </x:c>
      <x:c r="F15" t="str"/>
    </x:row>
    <x:row r="18">
      <x:c r="A18" s="5" t="str">
        <x:v>Phase</x:v>
      </x:c>
      <x:c r="B18" s="5" t="str">
        <x:v>Start s</x:v>
      </x:c>
      <x:c r="C18" s="5" t="str">
        <x:v>End s</x:v>
      </x:c>
      <x:c r="D18" s="5" t="str">
        <x:v>Samples</x:v>
      </x:c>
      <x:c r="E18" s="5" t="str">
        <x:v>Avg accel magnitude</x:v>
      </x:c>
      <x:c r="F18" s="5" t="str">
        <x:v>Max accel magnitude</x:v>
      </x:c>
      <x:c r="G18" s="5" t="str">
        <x:v>Avg INA240 voltage</x:v>
      </x:c>
    </x:row>
    <x:row r="19">
      <x:c r="A19" t="str">
        <x:v>0-15s Stationary</x:v>
      </x:c>
      <x:c r="B19" s="12" t="n">
        <x:v>0</x:v>
      </x:c>
      <x:c r="C19" s="12" t="n">
        <x:v>15</x:v>
      </x:c>
      <x:c r="D19" s="12" t="n">
        <x:f>COUNTIF(Integrated_Data!L2:L124,A19)</x:f>
        <x:v>30</x:v>
      </x:c>
      <x:c r="E19" s="10" t="n">
        <x:f>SUMIF(Integrated_Data!L2:L124,A19,Integrated_Data!H2:H124)/D19</x:f>
        <x:v>9.472200000000003</x:v>
      </x:c>
      <x:c r="F19" s="10" t="n">
        <x:f>MAXIFS(Integrated_Data!H2:H124,Integrated_Data!L2:L124,A19)</x:f>
        <x:v>9.619</x:v>
      </x:c>
      <x:c r="G19" s="10" t="n">
        <x:f>SUMIF(Integrated_Data!L2:L124,A19,Integrated_Data!J2:J124)/D19</x:f>
        <x:v>1.5185666666666662</x:v>
      </x:c>
    </x:row>
    <x:row r="20">
      <x:c r="A20" t="str">
        <x:v>15-30s Movement</x:v>
      </x:c>
      <x:c r="B20" s="12" t="n">
        <x:v>15</x:v>
      </x:c>
      <x:c r="C20" s="12" t="n">
        <x:v>30</x:v>
      </x:c>
      <x:c r="D20" s="12" t="n">
        <x:f>COUNTIF(Integrated_Data!L2:L124,A20)</x:f>
        <x:v>30</x:v>
      </x:c>
      <x:c r="E20" s="10" t="n">
        <x:f>SUMIF(Integrated_Data!L2:L124,A20,Integrated_Data!H2:H124)/D20</x:f>
        <x:v>10.4009</x:v>
      </x:c>
      <x:c r="F20" s="10" t="n">
        <x:f>MAXIFS(Integrated_Data!H2:H124,Integrated_Data!L2:L124,A20)</x:f>
        <x:v>13.706</x:v>
      </x:c>
      <x:c r="G20" s="10" t="n">
        <x:f>SUMIF(Integrated_Data!L2:L124,A20,Integrated_Data!J2:J124)/D20</x:f>
        <x:v>1.5183333333333335</x:v>
      </x:c>
    </x:row>
    <x:row r="21">
      <x:c r="A21" t="str">
        <x:v>30-45s Movement</x:v>
      </x:c>
      <x:c r="B21" s="12" t="n">
        <x:v>30</x:v>
      </x:c>
      <x:c r="C21" s="12" t="n">
        <x:v>45</x:v>
      </x:c>
      <x:c r="D21" s="12" t="n">
        <x:f>COUNTIF(Integrated_Data!L2:L124,A21)</x:f>
        <x:v>29</x:v>
      </x:c>
      <x:c r="E21" s="10" t="n">
        <x:f>SUMIF(Integrated_Data!L2:L124,A21,Integrated_Data!H2:H124)/D21</x:f>
        <x:v>9.369310344827587</x:v>
      </x:c>
      <x:c r="F21" s="10" t="n">
        <x:f>MAXIFS(Integrated_Data!H2:H124,Integrated_Data!L2:L124,A21)</x:f>
        <x:v>15.619</x:v>
      </x:c>
      <x:c r="G21" s="10" t="n">
        <x:f>SUMIF(Integrated_Data!L2:L124,A21,Integrated_Data!J2:J124)/D21</x:f>
        <x:v>1.5194482758620684</x:v>
      </x:c>
    </x:row>
    <x:row r="22">
      <x:c r="A22" t="str">
        <x:v>45-60s Stationary</x:v>
      </x:c>
      <x:c r="B22" s="12" t="n">
        <x:v>45</x:v>
      </x:c>
      <x:c r="C22" s="12" t="n">
        <x:v>65</x:v>
      </x:c>
      <x:c r="D22" s="12" t="n">
        <x:f>COUNTIF(Integrated_Data!L2:L124,A22)</x:f>
        <x:v>34</x:v>
      </x:c>
      <x:c r="E22" s="10" t="n">
        <x:f>SUMIF(Integrated_Data!L2:L124,A22,Integrated_Data!H2:H124)/D22</x:f>
        <x:v>9.191147058823532</x:v>
      </x:c>
      <x:c r="F22" s="10" t="n">
        <x:f>MAXIFS(Integrated_Data!H2:H124,Integrated_Data!L2:L124,A22)</x:f>
        <x:v>9.514</x:v>
      </x:c>
      <x:c r="G22" s="10" t="n">
        <x:f>SUMIF(Integrated_Data!L2:L124,A22,Integrated_Data!J2:J124)/D22</x:f>
        <x:v>1.5178823529411767</x:v>
      </x:c>
    </x:row>
    <x:row r="25">
      <x:c r="A25" s="5" t="str">
        <x:v>Project note</x:v>
      </x:c>
    </x:row>
    <x:row r="26" ht="58" customHeight="1">
      <x:c r="A26" s="24" t="str">
        <x:v>This workbook stores the integrated ESP32 telemetry dataset combining MPU6050 IMU readings and INA240 analog current-sensor output. The dataset covers about 62 seconds based on ESP32 timestamps. Phases are assigned from time_s: 0–15 s stationary, 15–30 s movement, 30–45 s movement, and 45+ s stationary. INA240 is treated as analog output only; current calibration requires confirmed gain and shunt settings.</x:v>
      </x:c>
    </x:row>
  </x:sheetData>
  <x:mergeCells>
    <x:mergeCell ref="A1:F1"/>
    <x:mergeCell ref="A25:G25"/>
    <x:mergeCell ref="A26:G2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.519999980926514" hidden="0" customWidth="1"/>
    <x:col min="2" max="2" width="13.859999656677246" hidden="0" customWidth="1"/>
    <x:col min="3" max="3" width="16.290000915527344" hidden="0" customWidth="1"/>
    <x:col min="4" max="4" width="14.539999961853027" hidden="0" customWidth="1"/>
  </x:cols>
  <x:sheetData>
    <x:row r="1" ht="22" customHeight="1">
      <x:c r="A1" s="5" t="str">
        <x:v>time_s</x:v>
      </x:c>
      <x:c r="B1" s="5" t="str">
        <x:v>accel_magnitude</x:v>
      </x:c>
      <x:c r="C1" s="5" t="str">
        <x:v>ina240_out_voltage</x:v>
      </x:c>
      <x:c r="D1" s="5" t="str">
        <x:v>phase</x:v>
      </x:c>
    </x:row>
    <x:row r="2">
      <x:c r="A2" s="10" t="n">
        <x:f>Integrated_Data!K2</x:f>
        <x:v>0</x:v>
      </x:c>
      <x:c r="B2" s="10" t="n">
        <x:f>Integrated_Data!H2</x:f>
        <x:v>9.522</x:v>
      </x:c>
      <x:c r="C2" s="10" t="n">
        <x:f>Integrated_Data!J2</x:f>
        <x:v>1.516</x:v>
      </x:c>
      <x:c r="D2" t="str">
        <x:f>Integrated_Data!L2</x:f>
        <x:v>0-15s Stationary</x:v>
      </x:c>
    </x:row>
    <x:row r="3">
      <x:c r="A3" s="10" t="n">
        <x:f>Integrated_Data!K3</x:f>
        <x:v>0.503</x:v>
      </x:c>
      <x:c r="B3" s="10" t="n">
        <x:f>Integrated_Data!H3</x:f>
        <x:v>9.462</x:v>
      </x:c>
      <x:c r="C3" s="10" t="n">
        <x:f>Integrated_Data!J3</x:f>
        <x:v>1.514</x:v>
      </x:c>
      <x:c r="D3" t="str">
        <x:f>Integrated_Data!L3</x:f>
        <x:v>0-15s Stationary</x:v>
      </x:c>
    </x:row>
    <x:row r="4">
      <x:c r="A4" s="10" t="n">
        <x:f>Integrated_Data!K4</x:f>
        <x:v>1.006</x:v>
      </x:c>
      <x:c r="B4" s="10" t="n">
        <x:f>Integrated_Data!H4</x:f>
        <x:v>9.493</x:v>
      </x:c>
      <x:c r="C4" s="10" t="n">
        <x:f>Integrated_Data!J4</x:f>
        <x:v>1.524</x:v>
      </x:c>
      <x:c r="D4" t="str">
        <x:f>Integrated_Data!L4</x:f>
        <x:v>0-15s Stationary</x:v>
      </x:c>
    </x:row>
    <x:row r="5">
      <x:c r="A5" s="10" t="n">
        <x:f>Integrated_Data!K5</x:f>
        <x:v>1.509</x:v>
      </x:c>
      <x:c r="B5" s="10" t="n">
        <x:f>Integrated_Data!H5</x:f>
        <x:v>9.486</x:v>
      </x:c>
      <x:c r="C5" s="10" t="n">
        <x:f>Integrated_Data!J5</x:f>
        <x:v>1.521</x:v>
      </x:c>
      <x:c r="D5" t="str">
        <x:f>Integrated_Data!L5</x:f>
        <x:v>0-15s Stationary</x:v>
      </x:c>
    </x:row>
    <x:row r="6">
      <x:c r="A6" s="10" t="n">
        <x:f>Integrated_Data!K6</x:f>
        <x:v>2.012</x:v>
      </x:c>
      <x:c r="B6" s="10" t="n">
        <x:f>Integrated_Data!H6</x:f>
        <x:v>9.484</x:v>
      </x:c>
      <x:c r="C6" s="10" t="n">
        <x:f>Integrated_Data!J6</x:f>
        <x:v>1.521</x:v>
      </x:c>
      <x:c r="D6" t="str">
        <x:f>Integrated_Data!L6</x:f>
        <x:v>0-15s Stationary</x:v>
      </x:c>
    </x:row>
    <x:row r="7">
      <x:c r="A7" s="10" t="n">
        <x:f>Integrated_Data!K7</x:f>
        <x:v>2.515</x:v>
      </x:c>
      <x:c r="B7" s="10" t="n">
        <x:f>Integrated_Data!H7</x:f>
        <x:v>9.474</x:v>
      </x:c>
      <x:c r="C7" s="10" t="n">
        <x:f>Integrated_Data!J7</x:f>
        <x:v>1.516</x:v>
      </x:c>
      <x:c r="D7" t="str">
        <x:f>Integrated_Data!L7</x:f>
        <x:v>0-15s Stationary</x:v>
      </x:c>
    </x:row>
    <x:row r="8">
      <x:c r="A8" s="10" t="n">
        <x:f>Integrated_Data!K8</x:f>
        <x:v>3.018</x:v>
      </x:c>
      <x:c r="B8" s="10" t="n">
        <x:f>Integrated_Data!H8</x:f>
        <x:v>9.479</x:v>
      </x:c>
      <x:c r="C8" s="10" t="n">
        <x:f>Integrated_Data!J8</x:f>
        <x:v>1.517</x:v>
      </x:c>
      <x:c r="D8" t="str">
        <x:f>Integrated_Data!L8</x:f>
        <x:v>0-15s Stationary</x:v>
      </x:c>
    </x:row>
    <x:row r="9">
      <x:c r="A9" s="10" t="n">
        <x:f>Integrated_Data!K9</x:f>
        <x:v>3.521</x:v>
      </x:c>
      <x:c r="B9" s="10" t="n">
        <x:f>Integrated_Data!H9</x:f>
        <x:v>9.469</x:v>
      </x:c>
      <x:c r="C9" s="10" t="n">
        <x:f>Integrated_Data!J9</x:f>
        <x:v>1.525</x:v>
      </x:c>
      <x:c r="D9" t="str">
        <x:f>Integrated_Data!L9</x:f>
        <x:v>0-15s Stationary</x:v>
      </x:c>
    </x:row>
    <x:row r="10">
      <x:c r="A10" s="10" t="n">
        <x:f>Integrated_Data!K10</x:f>
        <x:v>4.024</x:v>
      </x:c>
      <x:c r="B10" s="10" t="n">
        <x:f>Integrated_Data!H10</x:f>
        <x:v>9.477</x:v>
      </x:c>
      <x:c r="C10" s="10" t="n">
        <x:f>Integrated_Data!J10</x:f>
        <x:v>1.516</x:v>
      </x:c>
      <x:c r="D10" t="str">
        <x:f>Integrated_Data!L10</x:f>
        <x:v>0-15s Stationary</x:v>
      </x:c>
    </x:row>
    <x:row r="11">
      <x:c r="A11" s="10" t="n">
        <x:f>Integrated_Data!K11</x:f>
        <x:v>4.527</x:v>
      </x:c>
      <x:c r="B11" s="10" t="n">
        <x:f>Integrated_Data!H11</x:f>
        <x:v>9.483</x:v>
      </x:c>
      <x:c r="C11" s="10" t="n">
        <x:f>Integrated_Data!J11</x:f>
        <x:v>1.519</x:v>
      </x:c>
      <x:c r="D11" t="str">
        <x:f>Integrated_Data!L11</x:f>
        <x:v>0-15s Stationary</x:v>
      </x:c>
    </x:row>
    <x:row r="12">
      <x:c r="A12" s="10" t="n">
        <x:f>Integrated_Data!K12</x:f>
        <x:v>5.03</x:v>
      </x:c>
      <x:c r="B12" s="10" t="n">
        <x:f>Integrated_Data!H12</x:f>
        <x:v>9.474</x:v>
      </x:c>
      <x:c r="C12" s="10" t="n">
        <x:f>Integrated_Data!J12</x:f>
        <x:v>1.517</x:v>
      </x:c>
      <x:c r="D12" t="str">
        <x:f>Integrated_Data!L12</x:f>
        <x:v>0-15s Stationary</x:v>
      </x:c>
    </x:row>
    <x:row r="13">
      <x:c r="A13" s="10" t="n">
        <x:f>Integrated_Data!K13</x:f>
        <x:v>5.533</x:v>
      </x:c>
      <x:c r="B13" s="10" t="n">
        <x:f>Integrated_Data!H13</x:f>
        <x:v>9.46</x:v>
      </x:c>
      <x:c r="C13" s="10" t="n">
        <x:f>Integrated_Data!J13</x:f>
        <x:v>1.517</x:v>
      </x:c>
      <x:c r="D13" t="str">
        <x:f>Integrated_Data!L13</x:f>
        <x:v>0-15s Stationary</x:v>
      </x:c>
    </x:row>
    <x:row r="14">
      <x:c r="A14" s="10" t="n">
        <x:f>Integrated_Data!K14</x:f>
        <x:v>6.036</x:v>
      </x:c>
      <x:c r="B14" s="10" t="n">
        <x:f>Integrated_Data!H14</x:f>
        <x:v>9.538</x:v>
      </x:c>
      <x:c r="C14" s="10" t="n">
        <x:f>Integrated_Data!J14</x:f>
        <x:v>1.522</x:v>
      </x:c>
      <x:c r="D14" t="str">
        <x:f>Integrated_Data!L14</x:f>
        <x:v>0-15s Stationary</x:v>
      </x:c>
    </x:row>
    <x:row r="15">
      <x:c r="A15" s="10" t="n">
        <x:f>Integrated_Data!K15</x:f>
        <x:v>6.539</x:v>
      </x:c>
      <x:c r="B15" s="10" t="n">
        <x:f>Integrated_Data!H15</x:f>
        <x:v>9.471</x:v>
      </x:c>
      <x:c r="C15" s="10" t="n">
        <x:f>Integrated_Data!J15</x:f>
        <x:v>1.521</x:v>
      </x:c>
      <x:c r="D15" t="str">
        <x:f>Integrated_Data!L15</x:f>
        <x:v>0-15s Stationary</x:v>
      </x:c>
    </x:row>
    <x:row r="16">
      <x:c r="A16" s="10" t="n">
        <x:f>Integrated_Data!K16</x:f>
        <x:v>7.042</x:v>
      </x:c>
      <x:c r="B16" s="10" t="n">
        <x:f>Integrated_Data!H16</x:f>
        <x:v>9.474</x:v>
      </x:c>
      <x:c r="C16" s="10" t="n">
        <x:f>Integrated_Data!J16</x:f>
        <x:v>1.511</x:v>
      </x:c>
      <x:c r="D16" t="str">
        <x:f>Integrated_Data!L16</x:f>
        <x:v>0-15s Stationary</x:v>
      </x:c>
    </x:row>
    <x:row r="17">
      <x:c r="A17" s="10" t="n">
        <x:f>Integrated_Data!K17</x:f>
        <x:v>7.545</x:v>
      </x:c>
      <x:c r="B17" s="10" t="n">
        <x:f>Integrated_Data!H17</x:f>
        <x:v>9.476</x:v>
      </x:c>
      <x:c r="C17" s="10" t="n">
        <x:f>Integrated_Data!J17</x:f>
        <x:v>1.523</x:v>
      </x:c>
      <x:c r="D17" t="str">
        <x:f>Integrated_Data!L17</x:f>
        <x:v>0-15s Stationary</x:v>
      </x:c>
    </x:row>
    <x:row r="18">
      <x:c r="A18" s="10" t="n">
        <x:f>Integrated_Data!K18</x:f>
        <x:v>8.048</x:v>
      </x:c>
      <x:c r="B18" s="10" t="n">
        <x:f>Integrated_Data!H18</x:f>
        <x:v>9.464</x:v>
      </x:c>
      <x:c r="C18" s="10" t="n">
        <x:f>Integrated_Data!J18</x:f>
        <x:v>1.513</x:v>
      </x:c>
      <x:c r="D18" t="str">
        <x:f>Integrated_Data!L18</x:f>
        <x:v>0-15s Stationary</x:v>
      </x:c>
    </x:row>
    <x:row r="19">
      <x:c r="A19" s="10" t="n">
        <x:f>Integrated_Data!K19</x:f>
        <x:v>8.551</x:v>
      </x:c>
      <x:c r="B19" s="10" t="n">
        <x:f>Integrated_Data!H19</x:f>
        <x:v>9.386</x:v>
      </x:c>
      <x:c r="C19" s="10" t="n">
        <x:f>Integrated_Data!J19</x:f>
        <x:v>1.519</x:v>
      </x:c>
      <x:c r="D19" t="str">
        <x:f>Integrated_Data!L19</x:f>
        <x:v>0-15s Stationary</x:v>
      </x:c>
    </x:row>
    <x:row r="20">
      <x:c r="A20" s="10" t="n">
        <x:f>Integrated_Data!K20</x:f>
        <x:v>9.054</x:v>
      </x:c>
      <x:c r="B20" s="10" t="n">
        <x:f>Integrated_Data!H20</x:f>
        <x:v>9.386</x:v>
      </x:c>
      <x:c r="C20" s="10" t="n">
        <x:f>Integrated_Data!J20</x:f>
        <x:v>1.517</x:v>
      </x:c>
      <x:c r="D20" t="str">
        <x:f>Integrated_Data!L20</x:f>
        <x:v>0-15s Stationary</x:v>
      </x:c>
    </x:row>
    <x:row r="21">
      <x:c r="A21" s="10" t="n">
        <x:f>Integrated_Data!K21</x:f>
        <x:v>9.557</x:v>
      </x:c>
      <x:c r="B21" s="10" t="n">
        <x:f>Integrated_Data!H21</x:f>
        <x:v>9.455</x:v>
      </x:c>
      <x:c r="C21" s="10" t="n">
        <x:f>Integrated_Data!J21</x:f>
        <x:v>1.522</x:v>
      </x:c>
      <x:c r="D21" t="str">
        <x:f>Integrated_Data!L21</x:f>
        <x:v>0-15s Stationary</x:v>
      </x:c>
    </x:row>
    <x:row r="22">
      <x:c r="A22" s="10" t="n">
        <x:f>Integrated_Data!K22</x:f>
        <x:v>10.06</x:v>
      </x:c>
      <x:c r="B22" s="10" t="n">
        <x:f>Integrated_Data!H22</x:f>
        <x:v>9.472</x:v>
      </x:c>
      <x:c r="C22" s="10" t="n">
        <x:f>Integrated_Data!J22</x:f>
        <x:v>1.514</x:v>
      </x:c>
      <x:c r="D22" t="str">
        <x:f>Integrated_Data!L22</x:f>
        <x:v>0-15s Stationary</x:v>
      </x:c>
    </x:row>
    <x:row r="23">
      <x:c r="A23" s="10" t="n">
        <x:f>Integrated_Data!K23</x:f>
        <x:v>10.563</x:v>
      </x:c>
      <x:c r="B23" s="10" t="n">
        <x:f>Integrated_Data!H23</x:f>
        <x:v>9.45</x:v>
      </x:c>
      <x:c r="C23" s="10" t="n">
        <x:f>Integrated_Data!J23</x:f>
        <x:v>1.515</x:v>
      </x:c>
      <x:c r="D23" t="str">
        <x:f>Integrated_Data!L23</x:f>
        <x:v>0-15s Stationary</x:v>
      </x:c>
    </x:row>
    <x:row r="24">
      <x:c r="A24" s="10" t="n">
        <x:f>Integrated_Data!K24</x:f>
        <x:v>11.066</x:v>
      </x:c>
      <x:c r="B24" s="10" t="n">
        <x:f>Integrated_Data!H24</x:f>
        <x:v>9.472</x:v>
      </x:c>
      <x:c r="C24" s="10" t="n">
        <x:f>Integrated_Data!J24</x:f>
        <x:v>1.521</x:v>
      </x:c>
      <x:c r="D24" t="str">
        <x:f>Integrated_Data!L24</x:f>
        <x:v>0-15s Stationary</x:v>
      </x:c>
    </x:row>
    <x:row r="25">
      <x:c r="A25" s="10" t="n">
        <x:f>Integrated_Data!K25</x:f>
        <x:v>11.569</x:v>
      </x:c>
      <x:c r="B25" s="10" t="n">
        <x:f>Integrated_Data!H25</x:f>
        <x:v>9.46</x:v>
      </x:c>
      <x:c r="C25" s="10" t="n">
        <x:f>Integrated_Data!J25</x:f>
        <x:v>1.522</x:v>
      </x:c>
      <x:c r="D25" t="str">
        <x:f>Integrated_Data!L25</x:f>
        <x:v>0-15s Stationary</x:v>
      </x:c>
    </x:row>
    <x:row r="26">
      <x:c r="A26" s="10" t="n">
        <x:f>Integrated_Data!K26</x:f>
        <x:v>12.072</x:v>
      </x:c>
      <x:c r="B26" s="10" t="n">
        <x:f>Integrated_Data!H26</x:f>
        <x:v>9.451</x:v>
      </x:c>
      <x:c r="C26" s="10" t="n">
        <x:f>Integrated_Data!J26</x:f>
        <x:v>1.522</x:v>
      </x:c>
      <x:c r="D26" t="str">
        <x:f>Integrated_Data!L26</x:f>
        <x:v>0-15s Stationary</x:v>
      </x:c>
    </x:row>
    <x:row r="27">
      <x:c r="A27" s="10" t="n">
        <x:f>Integrated_Data!K27</x:f>
        <x:v>12.575</x:v>
      </x:c>
      <x:c r="B27" s="10" t="n">
        <x:f>Integrated_Data!H27</x:f>
        <x:v>9.437</x:v>
      </x:c>
      <x:c r="C27" s="10" t="n">
        <x:f>Integrated_Data!J27</x:f>
        <x:v>1.516</x:v>
      </x:c>
      <x:c r="D27" t="str">
        <x:f>Integrated_Data!L27</x:f>
        <x:v>0-15s Stationary</x:v>
      </x:c>
    </x:row>
    <x:row r="28">
      <x:c r="A28" s="10" t="n">
        <x:f>Integrated_Data!K28</x:f>
        <x:v>13.078</x:v>
      </x:c>
      <x:c r="B28" s="10" t="n">
        <x:f>Integrated_Data!H28</x:f>
        <x:v>9.48</x:v>
      </x:c>
      <x:c r="C28" s="10" t="n">
        <x:f>Integrated_Data!J28</x:f>
        <x:v>1.519</x:v>
      </x:c>
      <x:c r="D28" t="str">
        <x:f>Integrated_Data!L28</x:f>
        <x:v>0-15s Stationary</x:v>
      </x:c>
    </x:row>
    <x:row r="29">
      <x:c r="A29" s="10" t="n">
        <x:f>Integrated_Data!K29</x:f>
        <x:v>13.581</x:v>
      </x:c>
      <x:c r="B29" s="10" t="n">
        <x:f>Integrated_Data!H29</x:f>
        <x:v>9.449</x:v>
      </x:c>
      <x:c r="C29" s="10" t="n">
        <x:f>Integrated_Data!J29</x:f>
        <x:v>1.521</x:v>
      </x:c>
      <x:c r="D29" t="str">
        <x:f>Integrated_Data!L29</x:f>
        <x:v>0-15s Stationary</x:v>
      </x:c>
    </x:row>
    <x:row r="30">
      <x:c r="A30" s="10" t="n">
        <x:f>Integrated_Data!K30</x:f>
        <x:v>14.084</x:v>
      </x:c>
      <x:c r="B30" s="10" t="n">
        <x:f>Integrated_Data!H30</x:f>
        <x:v>9.463</x:v>
      </x:c>
      <x:c r="C30" s="10" t="n">
        <x:f>Integrated_Data!J30</x:f>
        <x:v>1.511</x:v>
      </x:c>
      <x:c r="D30" t="str">
        <x:f>Integrated_Data!L30</x:f>
        <x:v>0-15s Stationary</x:v>
      </x:c>
    </x:row>
    <x:row r="31">
      <x:c r="A31" s="10" t="n">
        <x:f>Integrated_Data!K31</x:f>
        <x:v>14.587</x:v>
      </x:c>
      <x:c r="B31" s="10" t="n">
        <x:f>Integrated_Data!H31</x:f>
        <x:v>9.619</x:v>
      </x:c>
      <x:c r="C31" s="10" t="n">
        <x:f>Integrated_Data!J31</x:f>
        <x:v>1.525</x:v>
      </x:c>
      <x:c r="D31" t="str">
        <x:f>Integrated_Data!L31</x:f>
        <x:v>0-15s Stationary</x:v>
      </x:c>
    </x:row>
    <x:row r="32">
      <x:c r="A32" s="10" t="n">
        <x:f>Integrated_Data!K32</x:f>
        <x:v>15.09</x:v>
      </x:c>
      <x:c r="B32" s="10" t="n">
        <x:f>Integrated_Data!H32</x:f>
        <x:v>9.412</x:v>
      </x:c>
      <x:c r="C32" s="10" t="n">
        <x:f>Integrated_Data!J32</x:f>
        <x:v>1.513</x:v>
      </x:c>
      <x:c r="D32" t="str">
        <x:f>Integrated_Data!L32</x:f>
        <x:v>15-30s Movement</x:v>
      </x:c>
    </x:row>
    <x:row r="33">
      <x:c r="A33" s="10" t="n">
        <x:f>Integrated_Data!K33</x:f>
        <x:v>15.593</x:v>
      </x:c>
      <x:c r="B33" s="10" t="n">
        <x:f>Integrated_Data!H33</x:f>
        <x:v>8.48</x:v>
      </x:c>
      <x:c r="C33" s="10" t="n">
        <x:f>Integrated_Data!J33</x:f>
        <x:v>1.517</x:v>
      </x:c>
      <x:c r="D33" t="str">
        <x:f>Integrated_Data!L33</x:f>
        <x:v>15-30s Movement</x:v>
      </x:c>
    </x:row>
    <x:row r="34">
      <x:c r="A34" s="10" t="n">
        <x:f>Integrated_Data!K34</x:f>
        <x:v>16.096</x:v>
      </x:c>
      <x:c r="B34" s="10" t="n">
        <x:f>Integrated_Data!H34</x:f>
        <x:v>11.806</x:v>
      </x:c>
      <x:c r="C34" s="10" t="n">
        <x:f>Integrated_Data!J34</x:f>
        <x:v>1.519</x:v>
      </x:c>
      <x:c r="D34" t="str">
        <x:f>Integrated_Data!L34</x:f>
        <x:v>15-30s Movement</x:v>
      </x:c>
    </x:row>
    <x:row r="35">
      <x:c r="A35" s="10" t="n">
        <x:f>Integrated_Data!K35</x:f>
        <x:v>16.599</x:v>
      </x:c>
      <x:c r="B35" s="10" t="n">
        <x:f>Integrated_Data!H35</x:f>
        <x:v>7.774</x:v>
      </x:c>
      <x:c r="C35" s="10" t="n">
        <x:f>Integrated_Data!J35</x:f>
        <x:v>1.524</x:v>
      </x:c>
      <x:c r="D35" t="str">
        <x:f>Integrated_Data!L35</x:f>
        <x:v>15-30s Movement</x:v>
      </x:c>
    </x:row>
    <x:row r="36">
      <x:c r="A36" s="10" t="n">
        <x:f>Integrated_Data!K36</x:f>
        <x:v>17.102</x:v>
      </x:c>
      <x:c r="B36" s="10" t="n">
        <x:f>Integrated_Data!H36</x:f>
        <x:v>13.158</x:v>
      </x:c>
      <x:c r="C36" s="10" t="n">
        <x:f>Integrated_Data!J36</x:f>
        <x:v>1.53</x:v>
      </x:c>
      <x:c r="D36" t="str">
        <x:f>Integrated_Data!L36</x:f>
        <x:v>15-30s Movement</x:v>
      </x:c>
    </x:row>
    <x:row r="37">
      <x:c r="A37" s="10" t="n">
        <x:f>Integrated_Data!K37</x:f>
        <x:v>17.605</x:v>
      </x:c>
      <x:c r="B37" s="10" t="n">
        <x:f>Integrated_Data!H37</x:f>
        <x:v>10.902</x:v>
      </x:c>
      <x:c r="C37" s="10" t="n">
        <x:f>Integrated_Data!J37</x:f>
        <x:v>1.511</x:v>
      </x:c>
      <x:c r="D37" t="str">
        <x:f>Integrated_Data!L37</x:f>
        <x:v>15-30s Movement</x:v>
      </x:c>
    </x:row>
    <x:row r="38">
      <x:c r="A38" s="10" t="n">
        <x:f>Integrated_Data!K38</x:f>
        <x:v>18.108</x:v>
      </x:c>
      <x:c r="B38" s="10" t="n">
        <x:f>Integrated_Data!H38</x:f>
        <x:v>9.632</x:v>
      </x:c>
      <x:c r="C38" s="10" t="n">
        <x:f>Integrated_Data!J38</x:f>
        <x:v>1.521</x:v>
      </x:c>
      <x:c r="D38" t="str">
        <x:f>Integrated_Data!L38</x:f>
        <x:v>15-30s Movement</x:v>
      </x:c>
    </x:row>
    <x:row r="39">
      <x:c r="A39" s="10" t="n">
        <x:f>Integrated_Data!K39</x:f>
        <x:v>18.611</x:v>
      </x:c>
      <x:c r="B39" s="10" t="n">
        <x:f>Integrated_Data!H39</x:f>
        <x:v>10.692</x:v>
      </x:c>
      <x:c r="C39" s="10" t="n">
        <x:f>Integrated_Data!J39</x:f>
        <x:v>1.521</x:v>
      </x:c>
      <x:c r="D39" t="str">
        <x:f>Integrated_Data!L39</x:f>
        <x:v>15-30s Movement</x:v>
      </x:c>
    </x:row>
    <x:row r="40">
      <x:c r="A40" s="10" t="n">
        <x:f>Integrated_Data!K40</x:f>
        <x:v>19.114</x:v>
      </x:c>
      <x:c r="B40" s="10" t="n">
        <x:f>Integrated_Data!H40</x:f>
        <x:v>10.458</x:v>
      </x:c>
      <x:c r="C40" s="10" t="n">
        <x:f>Integrated_Data!J40</x:f>
        <x:v>1.519</x:v>
      </x:c>
      <x:c r="D40" t="str">
        <x:f>Integrated_Data!L40</x:f>
        <x:v>15-30s Movement</x:v>
      </x:c>
    </x:row>
    <x:row r="41">
      <x:c r="A41" s="10" t="n">
        <x:f>Integrated_Data!K41</x:f>
        <x:v>19.617</x:v>
      </x:c>
      <x:c r="B41" s="10" t="n">
        <x:f>Integrated_Data!H41</x:f>
        <x:v>11.206</x:v>
      </x:c>
      <x:c r="C41" s="10" t="n">
        <x:f>Integrated_Data!J41</x:f>
        <x:v>1.521</x:v>
      </x:c>
      <x:c r="D41" t="str">
        <x:f>Integrated_Data!L41</x:f>
        <x:v>15-30s Movement</x:v>
      </x:c>
    </x:row>
    <x:row r="42">
      <x:c r="A42" s="10" t="n">
        <x:f>Integrated_Data!K42</x:f>
        <x:v>20.12</x:v>
      </x:c>
      <x:c r="B42" s="10" t="n">
        <x:f>Integrated_Data!H42</x:f>
        <x:v>9.894</x:v>
      </x:c>
      <x:c r="C42" s="10" t="n">
        <x:f>Integrated_Data!J42</x:f>
        <x:v>1.516</x:v>
      </x:c>
      <x:c r="D42" t="str">
        <x:f>Integrated_Data!L42</x:f>
        <x:v>15-30s Movement</x:v>
      </x:c>
    </x:row>
    <x:row r="43">
      <x:c r="A43" s="10" t="n">
        <x:f>Integrated_Data!K43</x:f>
        <x:v>20.623</x:v>
      </x:c>
      <x:c r="B43" s="10" t="n">
        <x:f>Integrated_Data!H43</x:f>
        <x:v>8.022</x:v>
      </x:c>
      <x:c r="C43" s="10" t="n">
        <x:f>Integrated_Data!J43</x:f>
        <x:v>1.519</x:v>
      </x:c>
      <x:c r="D43" t="str">
        <x:f>Integrated_Data!L43</x:f>
        <x:v>15-30s Movement</x:v>
      </x:c>
    </x:row>
    <x:row r="44">
      <x:c r="A44" s="10" t="n">
        <x:f>Integrated_Data!K44</x:f>
        <x:v>21.126</x:v>
      </x:c>
      <x:c r="B44" s="10" t="n">
        <x:f>Integrated_Data!H44</x:f>
        <x:v>11.57</x:v>
      </x:c>
      <x:c r="C44" s="10" t="n">
        <x:f>Integrated_Data!J44</x:f>
        <x:v>1.516</x:v>
      </x:c>
      <x:c r="D44" t="str">
        <x:f>Integrated_Data!L44</x:f>
        <x:v>15-30s Movement</x:v>
      </x:c>
    </x:row>
    <x:row r="45">
      <x:c r="A45" s="10" t="n">
        <x:f>Integrated_Data!K45</x:f>
        <x:v>21.629</x:v>
      </x:c>
      <x:c r="B45" s="10" t="n">
        <x:f>Integrated_Data!H45</x:f>
        <x:v>9.989</x:v>
      </x:c>
      <x:c r="C45" s="10" t="n">
        <x:f>Integrated_Data!J45</x:f>
        <x:v>1.521</x:v>
      </x:c>
      <x:c r="D45" t="str">
        <x:f>Integrated_Data!L45</x:f>
        <x:v>15-30s Movement</x:v>
      </x:c>
    </x:row>
    <x:row r="46">
      <x:c r="A46" s="10" t="n">
        <x:f>Integrated_Data!K46</x:f>
        <x:v>22.132</x:v>
      </x:c>
      <x:c r="B46" s="10" t="n">
        <x:f>Integrated_Data!H46</x:f>
        <x:v>10.436</x:v>
      </x:c>
      <x:c r="C46" s="10" t="n">
        <x:f>Integrated_Data!J46</x:f>
        <x:v>1.519</x:v>
      </x:c>
      <x:c r="D46" t="str">
        <x:f>Integrated_Data!L46</x:f>
        <x:v>15-30s Movement</x:v>
      </x:c>
    </x:row>
    <x:row r="47">
      <x:c r="A47" s="10" t="n">
        <x:f>Integrated_Data!K47</x:f>
        <x:v>22.635</x:v>
      </x:c>
      <x:c r="B47" s="10" t="n">
        <x:f>Integrated_Data!H47</x:f>
        <x:v>9.149</x:v>
      </x:c>
      <x:c r="C47" s="10" t="n">
        <x:f>Integrated_Data!J47</x:f>
        <x:v>1.52</x:v>
      </x:c>
      <x:c r="D47" t="str">
        <x:f>Integrated_Data!L47</x:f>
        <x:v>15-30s Movement</x:v>
      </x:c>
    </x:row>
    <x:row r="48">
      <x:c r="A48" s="10" t="n">
        <x:f>Integrated_Data!K48</x:f>
        <x:v>23.138</x:v>
      </x:c>
      <x:c r="B48" s="10" t="n">
        <x:f>Integrated_Data!H48</x:f>
        <x:v>10.018</x:v>
      </x:c>
      <x:c r="C48" s="10" t="n">
        <x:f>Integrated_Data!J48</x:f>
        <x:v>1.513</x:v>
      </x:c>
      <x:c r="D48" t="str">
        <x:f>Integrated_Data!L48</x:f>
        <x:v>15-30s Movement</x:v>
      </x:c>
    </x:row>
    <x:row r="49">
      <x:c r="A49" s="10" t="n">
        <x:f>Integrated_Data!K49</x:f>
        <x:v>23.641</x:v>
      </x:c>
      <x:c r="B49" s="10" t="n">
        <x:f>Integrated_Data!H49</x:f>
        <x:v>10.875</x:v>
      </x:c>
      <x:c r="C49" s="10" t="n">
        <x:f>Integrated_Data!J49</x:f>
        <x:v>1.511</x:v>
      </x:c>
      <x:c r="D49" t="str">
        <x:f>Integrated_Data!L49</x:f>
        <x:v>15-30s Movement</x:v>
      </x:c>
    </x:row>
    <x:row r="50">
      <x:c r="A50" s="10" t="n">
        <x:f>Integrated_Data!K50</x:f>
        <x:v>24.144</x:v>
      </x:c>
      <x:c r="B50" s="10" t="n">
        <x:f>Integrated_Data!H50</x:f>
        <x:v>10.15</x:v>
      </x:c>
      <x:c r="C50" s="10" t="n">
        <x:f>Integrated_Data!J50</x:f>
        <x:v>1.517</x:v>
      </x:c>
      <x:c r="D50" t="str">
        <x:f>Integrated_Data!L50</x:f>
        <x:v>15-30s Movement</x:v>
      </x:c>
    </x:row>
    <x:row r="51">
      <x:c r="A51" s="10" t="n">
        <x:f>Integrated_Data!K51</x:f>
        <x:v>24.647</x:v>
      </x:c>
      <x:c r="B51" s="10" t="n">
        <x:f>Integrated_Data!H51</x:f>
        <x:v>9.384</x:v>
      </x:c>
      <x:c r="C51" s="10" t="n">
        <x:f>Integrated_Data!J51</x:f>
        <x:v>1.523</x:v>
      </x:c>
      <x:c r="D51" t="str">
        <x:f>Integrated_Data!L51</x:f>
        <x:v>15-30s Movement</x:v>
      </x:c>
    </x:row>
    <x:row r="52">
      <x:c r="A52" s="10" t="n">
        <x:f>Integrated_Data!K52</x:f>
        <x:v>25.15</x:v>
      </x:c>
      <x:c r="B52" s="10" t="n">
        <x:f>Integrated_Data!H52</x:f>
        <x:v>10.634</x:v>
      </x:c>
      <x:c r="C52" s="10" t="n">
        <x:f>Integrated_Data!J52</x:f>
        <x:v>1.52</x:v>
      </x:c>
      <x:c r="D52" t="str">
        <x:f>Integrated_Data!L52</x:f>
        <x:v>15-30s Movement</x:v>
      </x:c>
    </x:row>
    <x:row r="53">
      <x:c r="A53" s="10" t="n">
        <x:f>Integrated_Data!K53</x:f>
        <x:v>25.654</x:v>
      </x:c>
      <x:c r="B53" s="10" t="n">
        <x:f>Integrated_Data!H53</x:f>
        <x:v>10.154</x:v>
      </x:c>
      <x:c r="C53" s="10" t="n">
        <x:f>Integrated_Data!J53</x:f>
        <x:v>1.514</x:v>
      </x:c>
      <x:c r="D53" t="str">
        <x:f>Integrated_Data!L53</x:f>
        <x:v>15-30s Movement</x:v>
      </x:c>
    </x:row>
    <x:row r="54">
      <x:c r="A54" s="10" t="n">
        <x:f>Integrated_Data!K54</x:f>
        <x:v>26.157</x:v>
      </x:c>
      <x:c r="B54" s="10" t="n">
        <x:f>Integrated_Data!H54</x:f>
        <x:v>9.435</x:v>
      </x:c>
      <x:c r="C54" s="10" t="n">
        <x:f>Integrated_Data!J54</x:f>
        <x:v>1.513</x:v>
      </x:c>
      <x:c r="D54" t="str">
        <x:f>Integrated_Data!L54</x:f>
        <x:v>15-30s Movement</x:v>
      </x:c>
    </x:row>
    <x:row r="55">
      <x:c r="A55" s="10" t="n">
        <x:f>Integrated_Data!K55</x:f>
        <x:v>26.66</x:v>
      </x:c>
      <x:c r="B55" s="10" t="n">
        <x:f>Integrated_Data!H55</x:f>
        <x:v>13.706</x:v>
      </x:c>
      <x:c r="C55" s="10" t="n">
        <x:f>Integrated_Data!J55</x:f>
        <x:v>1.519</x:v>
      </x:c>
      <x:c r="D55" t="str">
        <x:f>Integrated_Data!L55</x:f>
        <x:v>15-30s Movement</x:v>
      </x:c>
    </x:row>
    <x:row r="56">
      <x:c r="A56" s="10" t="n">
        <x:f>Integrated_Data!K56</x:f>
        <x:v>27.163</x:v>
      </x:c>
      <x:c r="B56" s="10" t="n">
        <x:f>Integrated_Data!H56</x:f>
        <x:v>12.066</x:v>
      </x:c>
      <x:c r="C56" s="10" t="n">
        <x:f>Integrated_Data!J56</x:f>
        <x:v>1.517</x:v>
      </x:c>
      <x:c r="D56" t="str">
        <x:f>Integrated_Data!L56</x:f>
        <x:v>15-30s Movement</x:v>
      </x:c>
    </x:row>
    <x:row r="57">
      <x:c r="A57" s="10" t="n">
        <x:f>Integrated_Data!K57</x:f>
        <x:v>27.666</x:v>
      </x:c>
      <x:c r="B57" s="10" t="n">
        <x:f>Integrated_Data!H57</x:f>
        <x:v>12.308</x:v>
      </x:c>
      <x:c r="C57" s="10" t="n">
        <x:f>Integrated_Data!J57</x:f>
        <x:v>1.521</x:v>
      </x:c>
      <x:c r="D57" t="str">
        <x:f>Integrated_Data!L57</x:f>
        <x:v>15-30s Movement</x:v>
      </x:c>
    </x:row>
    <x:row r="58">
      <x:c r="A58" s="10" t="n">
        <x:f>Integrated_Data!K58</x:f>
        <x:v>28.169</x:v>
      </x:c>
      <x:c r="B58" s="10" t="n">
        <x:f>Integrated_Data!H58</x:f>
        <x:v>11.433</x:v>
      </x:c>
      <x:c r="C58" s="10" t="n">
        <x:f>Integrated_Data!J58</x:f>
        <x:v>1.517</x:v>
      </x:c>
      <x:c r="D58" t="str">
        <x:f>Integrated_Data!L58</x:f>
        <x:v>15-30s Movement</x:v>
      </x:c>
    </x:row>
    <x:row r="59">
      <x:c r="A59" s="10" t="n">
        <x:f>Integrated_Data!K59</x:f>
        <x:v>28.672</x:v>
      </x:c>
      <x:c r="B59" s="10" t="n">
        <x:f>Integrated_Data!H59</x:f>
        <x:v>10.533</x:v>
      </x:c>
      <x:c r="C59" s="10" t="n">
        <x:f>Integrated_Data!J59</x:f>
        <x:v>1.517</x:v>
      </x:c>
      <x:c r="D59" t="str">
        <x:f>Integrated_Data!L59</x:f>
        <x:v>15-30s Movement</x:v>
      </x:c>
    </x:row>
    <x:row r="60">
      <x:c r="A60" s="10" t="n">
        <x:f>Integrated_Data!K60</x:f>
        <x:v>29.175</x:v>
      </x:c>
      <x:c r="B60" s="10" t="n">
        <x:f>Integrated_Data!H60</x:f>
        <x:v>9.876</x:v>
      </x:c>
      <x:c r="C60" s="10" t="n">
        <x:f>Integrated_Data!J60</x:f>
        <x:v>1.517</x:v>
      </x:c>
      <x:c r="D60" t="str">
        <x:f>Integrated_Data!L60</x:f>
        <x:v>15-30s Movement</x:v>
      </x:c>
    </x:row>
    <x:row r="61">
      <x:c r="A61" s="10" t="n">
        <x:f>Integrated_Data!K61</x:f>
        <x:v>29.678</x:v>
      </x:c>
      <x:c r="B61" s="10" t="n">
        <x:f>Integrated_Data!H61</x:f>
        <x:v>8.875</x:v>
      </x:c>
      <x:c r="C61" s="10" t="n">
        <x:f>Integrated_Data!J61</x:f>
        <x:v>1.524</x:v>
      </x:c>
      <x:c r="D61" t="str">
        <x:f>Integrated_Data!L61</x:f>
        <x:v>15-30s Movement</x:v>
      </x:c>
    </x:row>
    <x:row r="62">
      <x:c r="A62" s="10" t="n">
        <x:f>Integrated_Data!K62</x:f>
        <x:v>30.181</x:v>
      </x:c>
      <x:c r="B62" s="10" t="n">
        <x:f>Integrated_Data!H62</x:f>
        <x:v>8.671</x:v>
      </x:c>
      <x:c r="C62" s="10" t="n">
        <x:f>Integrated_Data!J62</x:f>
        <x:v>1.523</x:v>
      </x:c>
      <x:c r="D62" t="str">
        <x:f>Integrated_Data!L62</x:f>
        <x:v>30-45s Movement</x:v>
      </x:c>
    </x:row>
    <x:row r="63">
      <x:c r="A63" s="10" t="n">
        <x:f>Integrated_Data!K63</x:f>
        <x:v>31.187</x:v>
      </x:c>
      <x:c r="B63" s="10" t="n">
        <x:f>Integrated_Data!H63</x:f>
        <x:v>13.685</x:v>
      </x:c>
      <x:c r="C63" s="10" t="n">
        <x:f>Integrated_Data!J63</x:f>
        <x:v>1.517</x:v>
      </x:c>
      <x:c r="D63" t="str">
        <x:f>Integrated_Data!L63</x:f>
        <x:v>30-45s Movement</x:v>
      </x:c>
    </x:row>
    <x:row r="64">
      <x:c r="A64" s="10" t="n">
        <x:f>Integrated_Data!K64</x:f>
        <x:v>31.69</x:v>
      </x:c>
      <x:c r="B64" s="10" t="n">
        <x:f>Integrated_Data!H64</x:f>
        <x:v>15.619</x:v>
      </x:c>
      <x:c r="C64" s="10" t="n">
        <x:f>Integrated_Data!J64</x:f>
        <x:v>1.508</x:v>
      </x:c>
      <x:c r="D64" t="str">
        <x:f>Integrated_Data!L64</x:f>
        <x:v>30-45s Movement</x:v>
      </x:c>
    </x:row>
    <x:row r="65">
      <x:c r="A65" s="10" t="n">
        <x:f>Integrated_Data!K65</x:f>
        <x:v>32.193</x:v>
      </x:c>
      <x:c r="B65" s="10" t="n">
        <x:f>Integrated_Data!H65</x:f>
        <x:v>7.526</x:v>
      </x:c>
      <x:c r="C65" s="10" t="n">
        <x:f>Integrated_Data!J65</x:f>
        <x:v>1.52</x:v>
      </x:c>
      <x:c r="D65" t="str">
        <x:f>Integrated_Data!L65</x:f>
        <x:v>30-45s Movement</x:v>
      </x:c>
    </x:row>
    <x:row r="66">
      <x:c r="A66" s="10" t="n">
        <x:f>Integrated_Data!K66</x:f>
        <x:v>32.696</x:v>
      </x:c>
      <x:c r="B66" s="10" t="n">
        <x:f>Integrated_Data!H66</x:f>
        <x:v>5.726</x:v>
      </x:c>
      <x:c r="C66" s="10" t="n">
        <x:f>Integrated_Data!J66</x:f>
        <x:v>1.521</x:v>
      </x:c>
      <x:c r="D66" t="str">
        <x:f>Integrated_Data!L66</x:f>
        <x:v>30-45s Movement</x:v>
      </x:c>
    </x:row>
    <x:row r="67">
      <x:c r="A67" s="10" t="n">
        <x:f>Integrated_Data!K67</x:f>
        <x:v>33.199</x:v>
      </x:c>
      <x:c r="B67" s="10" t="n">
        <x:f>Integrated_Data!H67</x:f>
        <x:v>7.247</x:v>
      </x:c>
      <x:c r="C67" s="10" t="n">
        <x:f>Integrated_Data!J67</x:f>
        <x:v>1.523</x:v>
      </x:c>
      <x:c r="D67" t="str">
        <x:f>Integrated_Data!L67</x:f>
        <x:v>30-45s Movement</x:v>
      </x:c>
    </x:row>
    <x:row r="68">
      <x:c r="A68" s="10" t="n">
        <x:f>Integrated_Data!K68</x:f>
        <x:v>33.702</x:v>
      </x:c>
      <x:c r="B68" s="10" t="n">
        <x:f>Integrated_Data!H68</x:f>
        <x:v>8.578</x:v>
      </x:c>
      <x:c r="C68" s="10" t="n">
        <x:f>Integrated_Data!J68</x:f>
        <x:v>1.517</x:v>
      </x:c>
      <x:c r="D68" t="str">
        <x:f>Integrated_Data!L68</x:f>
        <x:v>30-45s Movement</x:v>
      </x:c>
    </x:row>
    <x:row r="69">
      <x:c r="A69" s="10" t="n">
        <x:f>Integrated_Data!K69</x:f>
        <x:v>34.205</x:v>
      </x:c>
      <x:c r="B69" s="10" t="n">
        <x:f>Integrated_Data!H69</x:f>
        <x:v>8.216</x:v>
      </x:c>
      <x:c r="C69" s="10" t="n">
        <x:f>Integrated_Data!J69</x:f>
        <x:v>1.517</x:v>
      </x:c>
      <x:c r="D69" t="str">
        <x:f>Integrated_Data!L69</x:f>
        <x:v>30-45s Movement</x:v>
      </x:c>
    </x:row>
    <x:row r="70">
      <x:c r="A70" s="10" t="n">
        <x:f>Integrated_Data!K70</x:f>
        <x:v>34.708</x:v>
      </x:c>
      <x:c r="B70" s="10" t="n">
        <x:f>Integrated_Data!H70</x:f>
        <x:v>13.198</x:v>
      </x:c>
      <x:c r="C70" s="10" t="n">
        <x:f>Integrated_Data!J70</x:f>
        <x:v>1.517</x:v>
      </x:c>
      <x:c r="D70" t="str">
        <x:f>Integrated_Data!L70</x:f>
        <x:v>30-45s Movement</x:v>
      </x:c>
    </x:row>
    <x:row r="71">
      <x:c r="A71" s="10" t="n">
        <x:f>Integrated_Data!K71</x:f>
        <x:v>35.211</x:v>
      </x:c>
      <x:c r="B71" s="10" t="n">
        <x:f>Integrated_Data!H71</x:f>
        <x:v>14.277</x:v>
      </x:c>
      <x:c r="C71" s="10" t="n">
        <x:f>Integrated_Data!J71</x:f>
        <x:v>1.517</x:v>
      </x:c>
      <x:c r="D71" t="str">
        <x:f>Integrated_Data!L71</x:f>
        <x:v>30-45s Movement</x:v>
      </x:c>
    </x:row>
    <x:row r="72">
      <x:c r="A72" s="10" t="n">
        <x:f>Integrated_Data!K72</x:f>
        <x:v>35.714</x:v>
      </x:c>
      <x:c r="B72" s="10" t="n">
        <x:f>Integrated_Data!H72</x:f>
        <x:v>7.184</x:v>
      </x:c>
      <x:c r="C72" s="10" t="n">
        <x:f>Integrated_Data!J72</x:f>
        <x:v>1.521</x:v>
      </x:c>
      <x:c r="D72" t="str">
        <x:f>Integrated_Data!L72</x:f>
        <x:v>30-45s Movement</x:v>
      </x:c>
    </x:row>
    <x:row r="73">
      <x:c r="A73" s="10" t="n">
        <x:f>Integrated_Data!K73</x:f>
        <x:v>36.217</x:v>
      </x:c>
      <x:c r="B73" s="10" t="n">
        <x:f>Integrated_Data!H73</x:f>
        <x:v>5.093</x:v>
      </x:c>
      <x:c r="C73" s="10" t="n">
        <x:f>Integrated_Data!J73</x:f>
        <x:v>1.519</x:v>
      </x:c>
      <x:c r="D73" t="str">
        <x:f>Integrated_Data!L73</x:f>
        <x:v>30-45s Movement</x:v>
      </x:c>
    </x:row>
    <x:row r="74">
      <x:c r="A74" s="10" t="n">
        <x:f>Integrated_Data!K74</x:f>
        <x:v>36.72</x:v>
      </x:c>
      <x:c r="B74" s="10" t="n">
        <x:f>Integrated_Data!H74</x:f>
        <x:v>8.592</x:v>
      </x:c>
      <x:c r="C74" s="10" t="n">
        <x:f>Integrated_Data!J74</x:f>
        <x:v>1.525</x:v>
      </x:c>
      <x:c r="D74" t="str">
        <x:f>Integrated_Data!L74</x:f>
        <x:v>30-45s Movement</x:v>
      </x:c>
    </x:row>
    <x:row r="75">
      <x:c r="A75" s="10" t="n">
        <x:f>Integrated_Data!K75</x:f>
        <x:v>37.223</x:v>
      </x:c>
      <x:c r="B75" s="10" t="n">
        <x:f>Integrated_Data!H75</x:f>
        <x:v>14.319</x:v>
      </x:c>
      <x:c r="C75" s="10" t="n">
        <x:f>Integrated_Data!J75</x:f>
        <x:v>1.523</x:v>
      </x:c>
      <x:c r="D75" t="str">
        <x:f>Integrated_Data!L75</x:f>
        <x:v>30-45s Movement</x:v>
      </x:c>
    </x:row>
    <x:row r="76">
      <x:c r="A76" s="10" t="n">
        <x:f>Integrated_Data!K76</x:f>
        <x:v>37.726</x:v>
      </x:c>
      <x:c r="B76" s="10" t="n">
        <x:f>Integrated_Data!H76</x:f>
        <x:v>9.01</x:v>
      </x:c>
      <x:c r="C76" s="10" t="n">
        <x:f>Integrated_Data!J76</x:f>
        <x:v>1.518</x:v>
      </x:c>
      <x:c r="D76" t="str">
        <x:f>Integrated_Data!L76</x:f>
        <x:v>30-45s Movement</x:v>
      </x:c>
    </x:row>
    <x:row r="77">
      <x:c r="A77" s="10" t="n">
        <x:f>Integrated_Data!K77</x:f>
        <x:v>38.229</x:v>
      </x:c>
      <x:c r="B77" s="10" t="n">
        <x:f>Integrated_Data!H77</x:f>
        <x:v>5.692</x:v>
      </x:c>
      <x:c r="C77" s="10" t="n">
        <x:f>Integrated_Data!J77</x:f>
        <x:v>1.517</x:v>
      </x:c>
      <x:c r="D77" t="str">
        <x:f>Integrated_Data!L77</x:f>
        <x:v>30-45s Movement</x:v>
      </x:c>
    </x:row>
    <x:row r="78">
      <x:c r="A78" s="10" t="n">
        <x:f>Integrated_Data!K78</x:f>
        <x:v>38.732</x:v>
      </x:c>
      <x:c r="B78" s="10" t="n">
        <x:f>Integrated_Data!H78</x:f>
        <x:v>8.845</x:v>
      </x:c>
      <x:c r="C78" s="10" t="n">
        <x:f>Integrated_Data!J78</x:f>
        <x:v>1.523</x:v>
      </x:c>
      <x:c r="D78" t="str">
        <x:f>Integrated_Data!L78</x:f>
        <x:v>30-45s Movement</x:v>
      </x:c>
    </x:row>
    <x:row r="79">
      <x:c r="A79" s="10" t="n">
        <x:f>Integrated_Data!K79</x:f>
        <x:v>39.235</x:v>
      </x:c>
      <x:c r="B79" s="10" t="n">
        <x:f>Integrated_Data!H79</x:f>
        <x:v>11.622</x:v>
      </x:c>
      <x:c r="C79" s="10" t="n">
        <x:f>Integrated_Data!J79</x:f>
        <x:v>1.517</x:v>
      </x:c>
      <x:c r="D79" t="str">
        <x:f>Integrated_Data!L79</x:f>
        <x:v>30-45s Movement</x:v>
      </x:c>
    </x:row>
    <x:row r="80">
      <x:c r="A80" s="10" t="n">
        <x:f>Integrated_Data!K80</x:f>
        <x:v>39.738</x:v>
      </x:c>
      <x:c r="B80" s="10" t="n">
        <x:f>Integrated_Data!H80</x:f>
        <x:v>12.975</x:v>
      </x:c>
      <x:c r="C80" s="10" t="n">
        <x:f>Integrated_Data!J80</x:f>
        <x:v>1.517</x:v>
      </x:c>
      <x:c r="D80" t="str">
        <x:f>Integrated_Data!L80</x:f>
        <x:v>30-45s Movement</x:v>
      </x:c>
    </x:row>
    <x:row r="81">
      <x:c r="A81" s="10" t="n">
        <x:f>Integrated_Data!K81</x:f>
        <x:v>40.241</x:v>
      </x:c>
      <x:c r="B81" s="10" t="n">
        <x:f>Integrated_Data!H81</x:f>
        <x:v>13.158</x:v>
      </x:c>
      <x:c r="C81" s="10" t="n">
        <x:f>Integrated_Data!J81</x:f>
        <x:v>1.521</x:v>
      </x:c>
      <x:c r="D81" t="str">
        <x:f>Integrated_Data!L81</x:f>
        <x:v>30-45s Movement</x:v>
      </x:c>
    </x:row>
    <x:row r="82">
      <x:c r="A82" s="10" t="n">
        <x:f>Integrated_Data!K82</x:f>
        <x:v>40.744</x:v>
      </x:c>
      <x:c r="B82" s="10" t="n">
        <x:f>Integrated_Data!H82</x:f>
        <x:v>10.811</x:v>
      </x:c>
      <x:c r="C82" s="10" t="n">
        <x:f>Integrated_Data!J82</x:f>
        <x:v>1.52</x:v>
      </x:c>
      <x:c r="D82" t="str">
        <x:f>Integrated_Data!L82</x:f>
        <x:v>30-45s Movement</x:v>
      </x:c>
    </x:row>
    <x:row r="83">
      <x:c r="A83" s="10" t="n">
        <x:f>Integrated_Data!K83</x:f>
        <x:v>41.247</x:v>
      </x:c>
      <x:c r="B83" s="10" t="n">
        <x:f>Integrated_Data!H83</x:f>
        <x:v>7.069</x:v>
      </x:c>
      <x:c r="C83" s="10" t="n">
        <x:f>Integrated_Data!J83</x:f>
        <x:v>1.521</x:v>
      </x:c>
      <x:c r="D83" t="str">
        <x:f>Integrated_Data!L83</x:f>
        <x:v>30-45s Movement</x:v>
      </x:c>
    </x:row>
    <x:row r="84">
      <x:c r="A84" s="10" t="n">
        <x:f>Integrated_Data!K84</x:f>
        <x:v>41.75</x:v>
      </x:c>
      <x:c r="B84" s="10" t="n">
        <x:f>Integrated_Data!H84</x:f>
        <x:v>6.913</x:v>
      </x:c>
      <x:c r="C84" s="10" t="n">
        <x:f>Integrated_Data!J84</x:f>
        <x:v>1.519</x:v>
      </x:c>
      <x:c r="D84" t="str">
        <x:f>Integrated_Data!L84</x:f>
        <x:v>30-45s Movement</x:v>
      </x:c>
    </x:row>
    <x:row r="85">
      <x:c r="A85" s="10" t="n">
        <x:f>Integrated_Data!K85</x:f>
        <x:v>42.253</x:v>
      </x:c>
      <x:c r="B85" s="10" t="n">
        <x:f>Integrated_Data!H85</x:f>
        <x:v>5.651</x:v>
      </x:c>
      <x:c r="C85" s="10" t="n">
        <x:f>Integrated_Data!J85</x:f>
        <x:v>1.524</x:v>
      </x:c>
      <x:c r="D85" t="str">
        <x:f>Integrated_Data!L85</x:f>
        <x:v>30-45s Movement</x:v>
      </x:c>
    </x:row>
    <x:row r="86">
      <x:c r="A86" s="10" t="n">
        <x:f>Integrated_Data!K86</x:f>
        <x:v>42.756</x:v>
      </x:c>
      <x:c r="B86" s="10" t="n">
        <x:f>Integrated_Data!H86</x:f>
        <x:v>9.305</x:v>
      </x:c>
      <x:c r="C86" s="10" t="n">
        <x:f>Integrated_Data!J86</x:f>
        <x:v>1.519</x:v>
      </x:c>
      <x:c r="D86" t="str">
        <x:f>Integrated_Data!L86</x:f>
        <x:v>30-45s Movement</x:v>
      </x:c>
    </x:row>
    <x:row r="87">
      <x:c r="A87" s="10" t="n">
        <x:f>Integrated_Data!K87</x:f>
        <x:v>43.259</x:v>
      </x:c>
      <x:c r="B87" s="10" t="n">
        <x:f>Integrated_Data!H87</x:f>
        <x:v>11.008</x:v>
      </x:c>
      <x:c r="C87" s="10" t="n">
        <x:f>Integrated_Data!J87</x:f>
        <x:v>1.517</x:v>
      </x:c>
      <x:c r="D87" t="str">
        <x:f>Integrated_Data!L87</x:f>
        <x:v>30-45s Movement</x:v>
      </x:c>
    </x:row>
    <x:row r="88">
      <x:c r="A88" s="10" t="n">
        <x:f>Integrated_Data!K88</x:f>
        <x:v>43.762</x:v>
      </x:c>
      <x:c r="B88" s="10" t="n">
        <x:f>Integrated_Data!H88</x:f>
        <x:v>9.458</x:v>
      </x:c>
      <x:c r="C88" s="10" t="n">
        <x:f>Integrated_Data!J88</x:f>
        <x:v>1.522</x:v>
      </x:c>
      <x:c r="D88" t="str">
        <x:f>Integrated_Data!L88</x:f>
        <x:v>30-45s Movement</x:v>
      </x:c>
    </x:row>
    <x:row r="89">
      <x:c r="A89" s="10" t="n">
        <x:f>Integrated_Data!K89</x:f>
        <x:v>44.265</x:v>
      </x:c>
      <x:c r="B89" s="10" t="n">
        <x:f>Integrated_Data!H89</x:f>
        <x:v>5.908</x:v>
      </x:c>
      <x:c r="C89" s="10" t="n">
        <x:f>Integrated_Data!J89</x:f>
        <x:v>1.519</x:v>
      </x:c>
      <x:c r="D89" t="str">
        <x:f>Integrated_Data!L89</x:f>
        <x:v>30-45s Movement</x:v>
      </x:c>
    </x:row>
    <x:row r="90">
      <x:c r="A90" s="10" t="n">
        <x:f>Integrated_Data!K90</x:f>
        <x:v>44.768</x:v>
      </x:c>
      <x:c r="B90" s="10" t="n">
        <x:f>Integrated_Data!H90</x:f>
        <x:v>6.354</x:v>
      </x:c>
      <x:c r="C90" s="10" t="n">
        <x:f>Integrated_Data!J90</x:f>
        <x:v>1.522</x:v>
      </x:c>
      <x:c r="D90" t="str">
        <x:f>Integrated_Data!L90</x:f>
        <x:v>30-45s Movement</x:v>
      </x:c>
    </x:row>
    <x:row r="91">
      <x:c r="A91" s="10" t="n">
        <x:f>Integrated_Data!K91</x:f>
        <x:v>45.271</x:v>
      </x:c>
      <x:c r="B91" s="10" t="n">
        <x:f>Integrated_Data!H91</x:f>
        <x:v>6.196</x:v>
      </x:c>
      <x:c r="C91" s="10" t="n">
        <x:f>Integrated_Data!J91</x:f>
        <x:v>1.521</x:v>
      </x:c>
      <x:c r="D91" t="str">
        <x:f>Integrated_Data!L91</x:f>
        <x:v>45-60s Stationary</x:v>
      </x:c>
    </x:row>
    <x:row r="92">
      <x:c r="A92" s="10" t="n">
        <x:f>Integrated_Data!K92</x:f>
        <x:v>45.774</x:v>
      </x:c>
      <x:c r="B92" s="10" t="n">
        <x:f>Integrated_Data!H92</x:f>
        <x:v>5.632</x:v>
      </x:c>
      <x:c r="C92" s="10" t="n">
        <x:f>Integrated_Data!J92</x:f>
        <x:v>1.514</x:v>
      </x:c>
      <x:c r="D92" t="str">
        <x:f>Integrated_Data!L92</x:f>
        <x:v>45-60s Stationary</x:v>
      </x:c>
    </x:row>
    <x:row r="93">
      <x:c r="A93" s="10" t="n">
        <x:f>Integrated_Data!K93</x:f>
        <x:v>46.277</x:v>
      </x:c>
      <x:c r="B93" s="10" t="n">
        <x:f>Integrated_Data!H93</x:f>
        <x:v>7.616</x:v>
      </x:c>
      <x:c r="C93" s="10" t="n">
        <x:f>Integrated_Data!J93</x:f>
        <x:v>1.517</x:v>
      </x:c>
      <x:c r="D93" t="str">
        <x:f>Integrated_Data!L93</x:f>
        <x:v>45-60s Stationary</x:v>
      </x:c>
    </x:row>
    <x:row r="94">
      <x:c r="A94" s="10" t="n">
        <x:f>Integrated_Data!K94</x:f>
        <x:v>46.78</x:v>
      </x:c>
      <x:c r="B94" s="10" t="n">
        <x:f>Integrated_Data!H94</x:f>
        <x:v>8.848</x:v>
      </x:c>
      <x:c r="C94" s="10" t="n">
        <x:f>Integrated_Data!J94</x:f>
        <x:v>1.511</x:v>
      </x:c>
      <x:c r="D94" t="str">
        <x:f>Integrated_Data!L94</x:f>
        <x:v>45-60s Stationary</x:v>
      </x:c>
    </x:row>
    <x:row r="95">
      <x:c r="A95" s="10" t="n">
        <x:f>Integrated_Data!K95</x:f>
        <x:v>47.283</x:v>
      </x:c>
      <x:c r="B95" s="10" t="n">
        <x:f>Integrated_Data!H95</x:f>
        <x:v>9.495</x:v>
      </x:c>
      <x:c r="C95" s="10" t="n">
        <x:f>Integrated_Data!J95</x:f>
        <x:v>1.521</x:v>
      </x:c>
      <x:c r="D95" t="str">
        <x:f>Integrated_Data!L95</x:f>
        <x:v>45-60s Stationary</x:v>
      </x:c>
    </x:row>
    <x:row r="96">
      <x:c r="A96" s="10" t="n">
        <x:f>Integrated_Data!K96</x:f>
        <x:v>47.786</x:v>
      </x:c>
      <x:c r="B96" s="10" t="n">
        <x:f>Integrated_Data!H96</x:f>
        <x:v>9.463</x:v>
      </x:c>
      <x:c r="C96" s="10" t="n">
        <x:f>Integrated_Data!J96</x:f>
        <x:v>1.519</x:v>
      </x:c>
      <x:c r="D96" t="str">
        <x:f>Integrated_Data!L96</x:f>
        <x:v>45-60s Stationary</x:v>
      </x:c>
    </x:row>
    <x:row r="97">
      <x:c r="A97" s="10" t="n">
        <x:f>Integrated_Data!K97</x:f>
        <x:v>48.289</x:v>
      </x:c>
      <x:c r="B97" s="10" t="n">
        <x:f>Integrated_Data!H97</x:f>
        <x:v>9.5</x:v>
      </x:c>
      <x:c r="C97" s="10" t="n">
        <x:f>Integrated_Data!J97</x:f>
        <x:v>1.513</x:v>
      </x:c>
      <x:c r="D97" t="str">
        <x:f>Integrated_Data!L97</x:f>
        <x:v>45-60s Stationary</x:v>
      </x:c>
    </x:row>
    <x:row r="98">
      <x:c r="A98" s="10" t="n">
        <x:f>Integrated_Data!K98</x:f>
        <x:v>48.792</x:v>
      </x:c>
      <x:c r="B98" s="10" t="n">
        <x:f>Integrated_Data!H98</x:f>
        <x:v>9.485</x:v>
      </x:c>
      <x:c r="C98" s="10" t="n">
        <x:f>Integrated_Data!J98</x:f>
        <x:v>1.516</x:v>
      </x:c>
      <x:c r="D98" t="str">
        <x:f>Integrated_Data!L98</x:f>
        <x:v>45-60s Stationary</x:v>
      </x:c>
    </x:row>
    <x:row r="99">
      <x:c r="A99" s="10" t="n">
        <x:f>Integrated_Data!K99</x:f>
        <x:v>49.295</x:v>
      </x:c>
      <x:c r="B99" s="10" t="n">
        <x:f>Integrated_Data!H99</x:f>
        <x:v>9.473</x:v>
      </x:c>
      <x:c r="C99" s="10" t="n">
        <x:f>Integrated_Data!J99</x:f>
        <x:v>1.519</x:v>
      </x:c>
      <x:c r="D99" t="str">
        <x:f>Integrated_Data!L99</x:f>
        <x:v>45-60s Stationary</x:v>
      </x:c>
    </x:row>
    <x:row r="100">
      <x:c r="A100" s="10" t="n">
        <x:f>Integrated_Data!K100</x:f>
        <x:v>49.798</x:v>
      </x:c>
      <x:c r="B100" s="10" t="n">
        <x:f>Integrated_Data!H100</x:f>
        <x:v>9.485</x:v>
      </x:c>
      <x:c r="C100" s="10" t="n">
        <x:f>Integrated_Data!J100</x:f>
        <x:v>1.52</x:v>
      </x:c>
      <x:c r="D100" t="str">
        <x:f>Integrated_Data!L100</x:f>
        <x:v>45-60s Stationary</x:v>
      </x:c>
    </x:row>
    <x:row r="101">
      <x:c r="A101" s="10" t="n">
        <x:f>Integrated_Data!K101</x:f>
        <x:v>50.301</x:v>
      </x:c>
      <x:c r="B101" s="10" t="n">
        <x:f>Integrated_Data!H101</x:f>
        <x:v>9.471</x:v>
      </x:c>
      <x:c r="C101" s="10" t="n">
        <x:f>Integrated_Data!J101</x:f>
        <x:v>1.517</x:v>
      </x:c>
      <x:c r="D101" t="str">
        <x:f>Integrated_Data!L101</x:f>
        <x:v>45-60s Stationary</x:v>
      </x:c>
    </x:row>
    <x:row r="102">
      <x:c r="A102" s="10" t="n">
        <x:f>Integrated_Data!K102</x:f>
        <x:v>50.804</x:v>
      </x:c>
      <x:c r="B102" s="10" t="n">
        <x:f>Integrated_Data!H102</x:f>
        <x:v>9.499</x:v>
      </x:c>
      <x:c r="C102" s="10" t="n">
        <x:f>Integrated_Data!J102</x:f>
        <x:v>1.513</x:v>
      </x:c>
      <x:c r="D102" t="str">
        <x:f>Integrated_Data!L102</x:f>
        <x:v>45-60s Stationary</x:v>
      </x:c>
    </x:row>
    <x:row r="103">
      <x:c r="A103" s="10" t="n">
        <x:f>Integrated_Data!K103</x:f>
        <x:v>51.307</x:v>
      </x:c>
      <x:c r="B103" s="10" t="n">
        <x:f>Integrated_Data!H103</x:f>
        <x:v>9.48</x:v>
      </x:c>
      <x:c r="C103" s="10" t="n">
        <x:f>Integrated_Data!J103</x:f>
        <x:v>1.521</x:v>
      </x:c>
      <x:c r="D103" t="str">
        <x:f>Integrated_Data!L103</x:f>
        <x:v>45-60s Stationary</x:v>
      </x:c>
    </x:row>
    <x:row r="104">
      <x:c r="A104" s="10" t="n">
        <x:f>Integrated_Data!K104</x:f>
        <x:v>51.81</x:v>
      </x:c>
      <x:c r="B104" s="10" t="n">
        <x:f>Integrated_Data!H104</x:f>
        <x:v>9.442</x:v>
      </x:c>
      <x:c r="C104" s="10" t="n">
        <x:f>Integrated_Data!J104</x:f>
        <x:v>1.517</x:v>
      </x:c>
      <x:c r="D104" t="str">
        <x:f>Integrated_Data!L104</x:f>
        <x:v>45-60s Stationary</x:v>
      </x:c>
    </x:row>
    <x:row r="105">
      <x:c r="A105" s="10" t="n">
        <x:f>Integrated_Data!K105</x:f>
        <x:v>52.313</x:v>
      </x:c>
      <x:c r="B105" s="10" t="n">
        <x:f>Integrated_Data!H105</x:f>
        <x:v>9.454</x:v>
      </x:c>
      <x:c r="C105" s="10" t="n">
        <x:f>Integrated_Data!J105</x:f>
        <x:v>1.523</x:v>
      </x:c>
      <x:c r="D105" t="str">
        <x:f>Integrated_Data!L105</x:f>
        <x:v>45-60s Stationary</x:v>
      </x:c>
    </x:row>
    <x:row r="106">
      <x:c r="A106" s="10" t="n">
        <x:f>Integrated_Data!K106</x:f>
        <x:v>52.816</x:v>
      </x:c>
      <x:c r="B106" s="10" t="n">
        <x:f>Integrated_Data!H106</x:f>
        <x:v>9.468</x:v>
      </x:c>
      <x:c r="C106" s="10" t="n">
        <x:f>Integrated_Data!J106</x:f>
        <x:v>1.52</x:v>
      </x:c>
      <x:c r="D106" t="str">
        <x:f>Integrated_Data!L106</x:f>
        <x:v>45-60s Stationary</x:v>
      </x:c>
    </x:row>
    <x:row r="107">
      <x:c r="A107" s="10" t="n">
        <x:f>Integrated_Data!K107</x:f>
        <x:v>53.319</x:v>
      </x:c>
      <x:c r="B107" s="10" t="n">
        <x:f>Integrated_Data!H107</x:f>
        <x:v>9.475</x:v>
      </x:c>
      <x:c r="C107" s="10" t="n">
        <x:f>Integrated_Data!J107</x:f>
        <x:v>1.521</x:v>
      </x:c>
      <x:c r="D107" t="str">
        <x:f>Integrated_Data!L107</x:f>
        <x:v>45-60s Stationary</x:v>
      </x:c>
    </x:row>
    <x:row r="108">
      <x:c r="A108" s="10" t="n">
        <x:f>Integrated_Data!K108</x:f>
        <x:v>53.822</x:v>
      </x:c>
      <x:c r="B108" s="10" t="n">
        <x:f>Integrated_Data!H108</x:f>
        <x:v>9.468</x:v>
      </x:c>
      <x:c r="C108" s="10" t="n">
        <x:f>Integrated_Data!J108</x:f>
        <x:v>1.521</x:v>
      </x:c>
      <x:c r="D108" t="str">
        <x:f>Integrated_Data!L108</x:f>
        <x:v>45-60s Stationary</x:v>
      </x:c>
    </x:row>
    <x:row r="109">
      <x:c r="A109" s="10" t="n">
        <x:f>Integrated_Data!K109</x:f>
        <x:v>54.325</x:v>
      </x:c>
      <x:c r="B109" s="10" t="n">
        <x:f>Integrated_Data!H109</x:f>
        <x:v>9.481</x:v>
      </x:c>
      <x:c r="C109" s="10" t="n">
        <x:f>Integrated_Data!J109</x:f>
        <x:v>1.514</x:v>
      </x:c>
      <x:c r="D109" t="str">
        <x:f>Integrated_Data!L109</x:f>
        <x:v>45-60s Stationary</x:v>
      </x:c>
    </x:row>
    <x:row r="110">
      <x:c r="A110" s="10" t="n">
        <x:f>Integrated_Data!K110</x:f>
        <x:v>54.828</x:v>
      </x:c>
      <x:c r="B110" s="10" t="n">
        <x:f>Integrated_Data!H110</x:f>
        <x:v>9.514</x:v>
      </x:c>
      <x:c r="C110" s="10" t="n">
        <x:f>Integrated_Data!J110</x:f>
        <x:v>1.524</x:v>
      </x:c>
      <x:c r="D110" t="str">
        <x:f>Integrated_Data!L110</x:f>
        <x:v>45-60s Stationary</x:v>
      </x:c>
    </x:row>
    <x:row r="111">
      <x:c r="A111" s="10" t="n">
        <x:f>Integrated_Data!K111</x:f>
        <x:v>55.331</x:v>
      </x:c>
      <x:c r="B111" s="10" t="n">
        <x:f>Integrated_Data!H111</x:f>
        <x:v>9.454</x:v>
      </x:c>
      <x:c r="C111" s="10" t="n">
        <x:f>Integrated_Data!J111</x:f>
        <x:v>1.523</x:v>
      </x:c>
      <x:c r="D111" t="str">
        <x:f>Integrated_Data!L111</x:f>
        <x:v>45-60s Stationary</x:v>
      </x:c>
    </x:row>
    <x:row r="112">
      <x:c r="A112" s="10" t="n">
        <x:f>Integrated_Data!K112</x:f>
        <x:v>55.834</x:v>
      </x:c>
      <x:c r="B112" s="10" t="n">
        <x:f>Integrated_Data!H112</x:f>
        <x:v>9.454</x:v>
      </x:c>
      <x:c r="C112" s="10" t="n">
        <x:f>Integrated_Data!J112</x:f>
        <x:v>1.511</x:v>
      </x:c>
      <x:c r="D112" t="str">
        <x:f>Integrated_Data!L112</x:f>
        <x:v>45-60s Stationary</x:v>
      </x:c>
    </x:row>
    <x:row r="113">
      <x:c r="A113" s="10" t="n">
        <x:f>Integrated_Data!K113</x:f>
        <x:v>56.337</x:v>
      </x:c>
      <x:c r="B113" s="10" t="n">
        <x:f>Integrated_Data!H113</x:f>
        <x:v>9.464</x:v>
      </x:c>
      <x:c r="C113" s="10" t="n">
        <x:f>Integrated_Data!J113</x:f>
        <x:v>1.513</x:v>
      </x:c>
      <x:c r="D113" t="str">
        <x:f>Integrated_Data!L113</x:f>
        <x:v>45-60s Stationary</x:v>
      </x:c>
    </x:row>
    <x:row r="114">
      <x:c r="A114" s="10" t="n">
        <x:f>Integrated_Data!K114</x:f>
        <x:v>56.84</x:v>
      </x:c>
      <x:c r="B114" s="10" t="n">
        <x:f>Integrated_Data!H114</x:f>
        <x:v>9.459</x:v>
      </x:c>
      <x:c r="C114" s="10" t="n">
        <x:f>Integrated_Data!J114</x:f>
        <x:v>1.518</x:v>
      </x:c>
      <x:c r="D114" t="str">
        <x:f>Integrated_Data!L114</x:f>
        <x:v>45-60s Stationary</x:v>
      </x:c>
    </x:row>
    <x:row r="115">
      <x:c r="A115" s="10" t="n">
        <x:f>Integrated_Data!K115</x:f>
        <x:v>57.343</x:v>
      </x:c>
      <x:c r="B115" s="10" t="n">
        <x:f>Integrated_Data!H115</x:f>
        <x:v>9.473</x:v>
      </x:c>
      <x:c r="C115" s="10" t="n">
        <x:f>Integrated_Data!J115</x:f>
        <x:v>1.513</x:v>
      </x:c>
      <x:c r="D115" t="str">
        <x:f>Integrated_Data!L115</x:f>
        <x:v>45-60s Stationary</x:v>
      </x:c>
    </x:row>
    <x:row r="116">
      <x:c r="A116" s="10" t="n">
        <x:f>Integrated_Data!K116</x:f>
        <x:v>57.846</x:v>
      </x:c>
      <x:c r="B116" s="10" t="n">
        <x:f>Integrated_Data!H116</x:f>
        <x:v>9.433</x:v>
      </x:c>
      <x:c r="C116" s="10" t="n">
        <x:f>Integrated_Data!J116</x:f>
        <x:v>1.517</x:v>
      </x:c>
      <x:c r="D116" t="str">
        <x:f>Integrated_Data!L116</x:f>
        <x:v>45-60s Stationary</x:v>
      </x:c>
    </x:row>
    <x:row r="117">
      <x:c r="A117" s="10" t="n">
        <x:f>Integrated_Data!K117</x:f>
        <x:v>58.349</x:v>
      </x:c>
      <x:c r="B117" s="10" t="n">
        <x:f>Integrated_Data!H117</x:f>
        <x:v>9.476</x:v>
      </x:c>
      <x:c r="C117" s="10" t="n">
        <x:f>Integrated_Data!J117</x:f>
        <x:v>1.517</x:v>
      </x:c>
      <x:c r="D117" t="str">
        <x:f>Integrated_Data!L117</x:f>
        <x:v>45-60s Stationary</x:v>
      </x:c>
    </x:row>
    <x:row r="118">
      <x:c r="A118" s="10" t="n">
        <x:f>Integrated_Data!K118</x:f>
        <x:v>58.852</x:v>
      </x:c>
      <x:c r="B118" s="10" t="n">
        <x:f>Integrated_Data!H118</x:f>
        <x:v>9.469</x:v>
      </x:c>
      <x:c r="C118" s="10" t="n">
        <x:f>Integrated_Data!J118</x:f>
        <x:v>1.519</x:v>
      </x:c>
      <x:c r="D118" t="str">
        <x:f>Integrated_Data!L118</x:f>
        <x:v>45-60s Stationary</x:v>
      </x:c>
    </x:row>
    <x:row r="119">
      <x:c r="A119" s="10" t="n">
        <x:f>Integrated_Data!K119</x:f>
        <x:v>59.355</x:v>
      </x:c>
      <x:c r="B119" s="10" t="n">
        <x:f>Integrated_Data!H119</x:f>
        <x:v>9.473</x:v>
      </x:c>
      <x:c r="C119" s="10" t="n">
        <x:f>Integrated_Data!J119</x:f>
        <x:v>1.517</x:v>
      </x:c>
      <x:c r="D119" t="str">
        <x:f>Integrated_Data!L119</x:f>
        <x:v>45-60s Stationary</x:v>
      </x:c>
    </x:row>
    <x:row r="120">
      <x:c r="A120" s="10" t="n">
        <x:f>Integrated_Data!K120</x:f>
        <x:v>59.858</x:v>
      </x:c>
      <x:c r="B120" s="10" t="n">
        <x:f>Integrated_Data!H120</x:f>
        <x:v>9.502</x:v>
      </x:c>
      <x:c r="C120" s="10" t="n">
        <x:f>Integrated_Data!J120</x:f>
        <x:v>1.514</x:v>
      </x:c>
      <x:c r="D120" t="str">
        <x:f>Integrated_Data!L120</x:f>
        <x:v>45-60s Stationary</x:v>
      </x:c>
    </x:row>
    <x:row r="121">
      <x:c r="A121" s="10" t="n">
        <x:f>Integrated_Data!K121</x:f>
        <x:v>60.361</x:v>
      </x:c>
      <x:c r="B121" s="10" t="n">
        <x:f>Integrated_Data!H121</x:f>
        <x:v>9.461</x:v>
      </x:c>
      <x:c r="C121" s="10" t="n">
        <x:f>Integrated_Data!J121</x:f>
        <x:v>1.516</x:v>
      </x:c>
      <x:c r="D121" t="str">
        <x:f>Integrated_Data!L121</x:f>
        <x:v>45-60s Stationary</x:v>
      </x:c>
    </x:row>
    <x:row r="122">
      <x:c r="A122" s="10" t="n">
        <x:f>Integrated_Data!K122</x:f>
        <x:v>60.864</x:v>
      </x:c>
      <x:c r="B122" s="10" t="n">
        <x:f>Integrated_Data!H122</x:f>
        <x:v>9.492</x:v>
      </x:c>
      <x:c r="C122" s="10" t="n">
        <x:f>Integrated_Data!J122</x:f>
        <x:v>1.522</x:v>
      </x:c>
      <x:c r="D122" t="str">
        <x:f>Integrated_Data!L122</x:f>
        <x:v>45-60s Stationary</x:v>
      </x:c>
    </x:row>
    <x:row r="123">
      <x:c r="A123" s="10" t="n">
        <x:f>Integrated_Data!K123</x:f>
        <x:v>61.367</x:v>
      </x:c>
      <x:c r="B123" s="10" t="n">
        <x:f>Integrated_Data!H123</x:f>
        <x:v>9.454</x:v>
      </x:c>
      <x:c r="C123" s="10" t="n">
        <x:f>Integrated_Data!J123</x:f>
        <x:v>1.521</x:v>
      </x:c>
      <x:c r="D123" t="str">
        <x:f>Integrated_Data!L123</x:f>
        <x:v>45-60s Stationary</x:v>
      </x:c>
    </x:row>
    <x:row r="124">
      <x:c r="A124" s="10" t="n">
        <x:f>Integrated_Data!K124</x:f>
        <x:v>61.87</x:v>
      </x:c>
      <x:c r="B124" s="10" t="n">
        <x:f>Integrated_Data!H124</x:f>
        <x:v>9.49</x:v>
      </x:c>
      <x:c r="C124" s="10" t="n">
        <x:f>Integrated_Data!J124</x:f>
        <x:v>1.525</x:v>
      </x:c>
      <x:c r="D124" t="str">
        <x:f>Integrated_Data!L124</x:f>
        <x:v>45-60s Stationary</x:v>
      </x:c>
    </x:row>
  </x:sheetData>
  <x:pageMargins left="0.7" right="0.7" top="0.75" bottom="0.75" header="0.3" footer="0.3"/>
  <x:drawing xmlns:r="http://schemas.openxmlformats.org/officeDocument/2006/relationships" r:id="R014943815246498c"/>
</x:worksheet>
</file>