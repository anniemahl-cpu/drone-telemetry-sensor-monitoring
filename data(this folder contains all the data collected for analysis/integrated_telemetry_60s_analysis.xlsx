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uaweiMoveData\Users\kenny\Desktop\drone-telemetry-sensor-monitoring\data\"/>
    </mc:Choice>
  </mc:AlternateContent>
  <xr:revisionPtr revIDLastSave="0" documentId="13_ncr:1_{91202464-EFE7-4D6B-916A-188CAB468C1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Integrated_Data" sheetId="1" r:id="rId1"/>
    <sheet name="Summary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4" i="3" l="1"/>
  <c r="C124" i="3"/>
  <c r="B124" i="3"/>
  <c r="C123" i="3"/>
  <c r="B123" i="3"/>
  <c r="C122" i="3"/>
  <c r="B122" i="3"/>
  <c r="C121" i="3"/>
  <c r="B121" i="3"/>
  <c r="C120" i="3"/>
  <c r="B120" i="3"/>
  <c r="C119" i="3"/>
  <c r="B119" i="3"/>
  <c r="D118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D110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D102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D94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D86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D78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D70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D62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D54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D46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D38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D30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D22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D14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D6" i="3"/>
  <c r="C6" i="3"/>
  <c r="B6" i="3"/>
  <c r="C5" i="3"/>
  <c r="B5" i="3"/>
  <c r="C4" i="3"/>
  <c r="B4" i="3"/>
  <c r="C3" i="3"/>
  <c r="B3" i="3"/>
  <c r="C2" i="3"/>
  <c r="B2" i="3"/>
  <c r="F22" i="2"/>
  <c r="F21" i="2"/>
  <c r="F20" i="2"/>
  <c r="F19" i="2"/>
  <c r="B14" i="2"/>
  <c r="B13" i="2"/>
  <c r="B12" i="2"/>
  <c r="B11" i="2"/>
  <c r="B15" i="2" s="1"/>
  <c r="B10" i="2"/>
  <c r="B9" i="2"/>
  <c r="B6" i="2"/>
  <c r="B5" i="2"/>
  <c r="B8" i="2" s="1"/>
  <c r="B4" i="2"/>
  <c r="B7" i="2" s="1"/>
  <c r="L124" i="1"/>
  <c r="K124" i="1"/>
  <c r="A124" i="3" s="1"/>
  <c r="K123" i="1"/>
  <c r="A123" i="3" s="1"/>
  <c r="K122" i="1"/>
  <c r="A122" i="3" s="1"/>
  <c r="K121" i="1"/>
  <c r="L121" i="1" s="1"/>
  <c r="D121" i="3" s="1"/>
  <c r="K120" i="1"/>
  <c r="A120" i="3" s="1"/>
  <c r="K119" i="1"/>
  <c r="L119" i="1" s="1"/>
  <c r="D119" i="3" s="1"/>
  <c r="L118" i="1"/>
  <c r="K118" i="1"/>
  <c r="A118" i="3" s="1"/>
  <c r="K117" i="1"/>
  <c r="L117" i="1" s="1"/>
  <c r="D117" i="3" s="1"/>
  <c r="L116" i="1"/>
  <c r="D116" i="3" s="1"/>
  <c r="K116" i="1"/>
  <c r="A116" i="3" s="1"/>
  <c r="K115" i="1"/>
  <c r="A115" i="3" s="1"/>
  <c r="K114" i="1"/>
  <c r="A114" i="3" s="1"/>
  <c r="K113" i="1"/>
  <c r="L113" i="1" s="1"/>
  <c r="D113" i="3" s="1"/>
  <c r="K112" i="1"/>
  <c r="A112" i="3" s="1"/>
  <c r="K111" i="1"/>
  <c r="L111" i="1" s="1"/>
  <c r="D111" i="3" s="1"/>
  <c r="L110" i="1"/>
  <c r="K110" i="1"/>
  <c r="A110" i="3" s="1"/>
  <c r="K109" i="1"/>
  <c r="L109" i="1" s="1"/>
  <c r="D109" i="3" s="1"/>
  <c r="L108" i="1"/>
  <c r="D108" i="3" s="1"/>
  <c r="K108" i="1"/>
  <c r="A108" i="3" s="1"/>
  <c r="K107" i="1"/>
  <c r="A107" i="3" s="1"/>
  <c r="K106" i="1"/>
  <c r="A106" i="3" s="1"/>
  <c r="K105" i="1"/>
  <c r="L105" i="1" s="1"/>
  <c r="D105" i="3" s="1"/>
  <c r="K104" i="1"/>
  <c r="A104" i="3" s="1"/>
  <c r="K103" i="1"/>
  <c r="L103" i="1" s="1"/>
  <c r="D103" i="3" s="1"/>
  <c r="L102" i="1"/>
  <c r="K102" i="1"/>
  <c r="A102" i="3" s="1"/>
  <c r="K101" i="1"/>
  <c r="L101" i="1" s="1"/>
  <c r="D101" i="3" s="1"/>
  <c r="L100" i="1"/>
  <c r="D100" i="3" s="1"/>
  <c r="K100" i="1"/>
  <c r="A100" i="3" s="1"/>
  <c r="K99" i="1"/>
  <c r="A99" i="3" s="1"/>
  <c r="K98" i="1"/>
  <c r="A98" i="3" s="1"/>
  <c r="K97" i="1"/>
  <c r="L97" i="1" s="1"/>
  <c r="D97" i="3" s="1"/>
  <c r="K96" i="1"/>
  <c r="A96" i="3" s="1"/>
  <c r="K95" i="1"/>
  <c r="L95" i="1" s="1"/>
  <c r="D95" i="3" s="1"/>
  <c r="L94" i="1"/>
  <c r="K94" i="1"/>
  <c r="A94" i="3" s="1"/>
  <c r="K93" i="1"/>
  <c r="L93" i="1" s="1"/>
  <c r="D93" i="3" s="1"/>
  <c r="L92" i="1"/>
  <c r="D92" i="3" s="1"/>
  <c r="K92" i="1"/>
  <c r="A92" i="3" s="1"/>
  <c r="K91" i="1"/>
  <c r="A91" i="3" s="1"/>
  <c r="K90" i="1"/>
  <c r="A90" i="3" s="1"/>
  <c r="K89" i="1"/>
  <c r="L89" i="1" s="1"/>
  <c r="D89" i="3" s="1"/>
  <c r="K88" i="1"/>
  <c r="A88" i="3" s="1"/>
  <c r="K87" i="1"/>
  <c r="L87" i="1" s="1"/>
  <c r="D87" i="3" s="1"/>
  <c r="L86" i="1"/>
  <c r="K86" i="1"/>
  <c r="A86" i="3" s="1"/>
  <c r="K85" i="1"/>
  <c r="L85" i="1" s="1"/>
  <c r="D85" i="3" s="1"/>
  <c r="L84" i="1"/>
  <c r="D84" i="3" s="1"/>
  <c r="K84" i="1"/>
  <c r="A84" i="3" s="1"/>
  <c r="K83" i="1"/>
  <c r="A83" i="3" s="1"/>
  <c r="K82" i="1"/>
  <c r="A82" i="3" s="1"/>
  <c r="K81" i="1"/>
  <c r="L81" i="1" s="1"/>
  <c r="D81" i="3" s="1"/>
  <c r="K80" i="1"/>
  <c r="A80" i="3" s="1"/>
  <c r="K79" i="1"/>
  <c r="L79" i="1" s="1"/>
  <c r="D79" i="3" s="1"/>
  <c r="L78" i="1"/>
  <c r="K78" i="1"/>
  <c r="A78" i="3" s="1"/>
  <c r="K77" i="1"/>
  <c r="L77" i="1" s="1"/>
  <c r="D77" i="3" s="1"/>
  <c r="L76" i="1"/>
  <c r="D76" i="3" s="1"/>
  <c r="K76" i="1"/>
  <c r="A76" i="3" s="1"/>
  <c r="K75" i="1"/>
  <c r="A75" i="3" s="1"/>
  <c r="K74" i="1"/>
  <c r="A74" i="3" s="1"/>
  <c r="K73" i="1"/>
  <c r="L73" i="1" s="1"/>
  <c r="D73" i="3" s="1"/>
  <c r="K72" i="1"/>
  <c r="A72" i="3" s="1"/>
  <c r="K71" i="1"/>
  <c r="L71" i="1" s="1"/>
  <c r="D71" i="3" s="1"/>
  <c r="L70" i="1"/>
  <c r="K70" i="1"/>
  <c r="A70" i="3" s="1"/>
  <c r="K69" i="1"/>
  <c r="L69" i="1" s="1"/>
  <c r="D69" i="3" s="1"/>
  <c r="L68" i="1"/>
  <c r="D68" i="3" s="1"/>
  <c r="K68" i="1"/>
  <c r="A68" i="3" s="1"/>
  <c r="K67" i="1"/>
  <c r="A67" i="3" s="1"/>
  <c r="K66" i="1"/>
  <c r="A66" i="3" s="1"/>
  <c r="K65" i="1"/>
  <c r="L65" i="1" s="1"/>
  <c r="D65" i="3" s="1"/>
  <c r="K64" i="1"/>
  <c r="A64" i="3" s="1"/>
  <c r="K63" i="1"/>
  <c r="L63" i="1" s="1"/>
  <c r="D63" i="3" s="1"/>
  <c r="L62" i="1"/>
  <c r="K62" i="1"/>
  <c r="A62" i="3" s="1"/>
  <c r="K61" i="1"/>
  <c r="L61" i="1" s="1"/>
  <c r="D61" i="3" s="1"/>
  <c r="L60" i="1"/>
  <c r="D60" i="3" s="1"/>
  <c r="K60" i="1"/>
  <c r="A60" i="3" s="1"/>
  <c r="K59" i="1"/>
  <c r="A59" i="3" s="1"/>
  <c r="K58" i="1"/>
  <c r="A58" i="3" s="1"/>
  <c r="K57" i="1"/>
  <c r="A57" i="3" s="1"/>
  <c r="K56" i="1"/>
  <c r="A56" i="3" s="1"/>
  <c r="K55" i="1"/>
  <c r="L55" i="1" s="1"/>
  <c r="D55" i="3" s="1"/>
  <c r="L54" i="1"/>
  <c r="K54" i="1"/>
  <c r="A54" i="3" s="1"/>
  <c r="K53" i="1"/>
  <c r="L53" i="1" s="1"/>
  <c r="D53" i="3" s="1"/>
  <c r="L52" i="1"/>
  <c r="D52" i="3" s="1"/>
  <c r="K52" i="1"/>
  <c r="A52" i="3" s="1"/>
  <c r="K51" i="1"/>
  <c r="A51" i="3" s="1"/>
  <c r="K50" i="1"/>
  <c r="A50" i="3" s="1"/>
  <c r="K49" i="1"/>
  <c r="L49" i="1" s="1"/>
  <c r="D49" i="3" s="1"/>
  <c r="K48" i="1"/>
  <c r="A48" i="3" s="1"/>
  <c r="K47" i="1"/>
  <c r="L47" i="1" s="1"/>
  <c r="D47" i="3" s="1"/>
  <c r="L46" i="1"/>
  <c r="K46" i="1"/>
  <c r="A46" i="3" s="1"/>
  <c r="K45" i="1"/>
  <c r="L45" i="1" s="1"/>
  <c r="D45" i="3" s="1"/>
  <c r="L44" i="1"/>
  <c r="D44" i="3" s="1"/>
  <c r="K44" i="1"/>
  <c r="A44" i="3" s="1"/>
  <c r="K43" i="1"/>
  <c r="A43" i="3" s="1"/>
  <c r="K42" i="1"/>
  <c r="A42" i="3" s="1"/>
  <c r="K41" i="1"/>
  <c r="L41" i="1" s="1"/>
  <c r="D41" i="3" s="1"/>
  <c r="K40" i="1"/>
  <c r="A40" i="3" s="1"/>
  <c r="K39" i="1"/>
  <c r="L39" i="1" s="1"/>
  <c r="D39" i="3" s="1"/>
  <c r="L38" i="1"/>
  <c r="K38" i="1"/>
  <c r="A38" i="3" s="1"/>
  <c r="K37" i="1"/>
  <c r="L37" i="1" s="1"/>
  <c r="D37" i="3" s="1"/>
  <c r="L36" i="1"/>
  <c r="D36" i="3" s="1"/>
  <c r="K36" i="1"/>
  <c r="A36" i="3" s="1"/>
  <c r="K35" i="1"/>
  <c r="A35" i="3" s="1"/>
  <c r="K34" i="1"/>
  <c r="A34" i="3" s="1"/>
  <c r="K33" i="1"/>
  <c r="A33" i="3" s="1"/>
  <c r="K32" i="1"/>
  <c r="A32" i="3" s="1"/>
  <c r="K31" i="1"/>
  <c r="L31" i="1" s="1"/>
  <c r="D31" i="3" s="1"/>
  <c r="L30" i="1"/>
  <c r="K30" i="1"/>
  <c r="A30" i="3" s="1"/>
  <c r="K29" i="1"/>
  <c r="L29" i="1" s="1"/>
  <c r="D29" i="3" s="1"/>
  <c r="L28" i="1"/>
  <c r="D28" i="3" s="1"/>
  <c r="K28" i="1"/>
  <c r="A28" i="3" s="1"/>
  <c r="K27" i="1"/>
  <c r="A27" i="3" s="1"/>
  <c r="K26" i="1"/>
  <c r="A26" i="3" s="1"/>
  <c r="K25" i="1"/>
  <c r="A25" i="3" s="1"/>
  <c r="K24" i="1"/>
  <c r="A24" i="3" s="1"/>
  <c r="K23" i="1"/>
  <c r="L23" i="1" s="1"/>
  <c r="D23" i="3" s="1"/>
  <c r="L22" i="1"/>
  <c r="K22" i="1"/>
  <c r="A22" i="3" s="1"/>
  <c r="K21" i="1"/>
  <c r="L21" i="1" s="1"/>
  <c r="D21" i="3" s="1"/>
  <c r="L20" i="1"/>
  <c r="D20" i="3" s="1"/>
  <c r="K20" i="1"/>
  <c r="A20" i="3" s="1"/>
  <c r="K19" i="1"/>
  <c r="A19" i="3" s="1"/>
  <c r="K18" i="1"/>
  <c r="A18" i="3" s="1"/>
  <c r="K17" i="1"/>
  <c r="A17" i="3" s="1"/>
  <c r="K16" i="1"/>
  <c r="A16" i="3" s="1"/>
  <c r="K15" i="1"/>
  <c r="L15" i="1" s="1"/>
  <c r="D15" i="3" s="1"/>
  <c r="L14" i="1"/>
  <c r="K14" i="1"/>
  <c r="A14" i="3" s="1"/>
  <c r="K13" i="1"/>
  <c r="L13" i="1" s="1"/>
  <c r="D13" i="3" s="1"/>
  <c r="L12" i="1"/>
  <c r="D12" i="3" s="1"/>
  <c r="K12" i="1"/>
  <c r="A12" i="3" s="1"/>
  <c r="K11" i="1"/>
  <c r="A11" i="3" s="1"/>
  <c r="K10" i="1"/>
  <c r="A10" i="3" s="1"/>
  <c r="K9" i="1"/>
  <c r="L9" i="1" s="1"/>
  <c r="D9" i="3" s="1"/>
  <c r="K8" i="1"/>
  <c r="A8" i="3" s="1"/>
  <c r="K7" i="1"/>
  <c r="L7" i="1" s="1"/>
  <c r="D7" i="3" s="1"/>
  <c r="L6" i="1"/>
  <c r="K6" i="1"/>
  <c r="A6" i="3" s="1"/>
  <c r="K5" i="1"/>
  <c r="L5" i="1" s="1"/>
  <c r="D5" i="3" s="1"/>
  <c r="L4" i="1"/>
  <c r="D4" i="3" s="1"/>
  <c r="K4" i="1"/>
  <c r="A4" i="3" s="1"/>
  <c r="K3" i="1"/>
  <c r="A3" i="3" s="1"/>
  <c r="K2" i="1"/>
  <c r="A2" i="3" s="1"/>
  <c r="A9" i="3" l="1"/>
  <c r="A21" i="3"/>
  <c r="A29" i="3"/>
  <c r="A41" i="3"/>
  <c r="A45" i="3"/>
  <c r="A53" i="3"/>
  <c r="A61" i="3"/>
  <c r="A65" i="3"/>
  <c r="A73" i="3"/>
  <c r="A81" i="3"/>
  <c r="A85" i="3"/>
  <c r="A89" i="3"/>
  <c r="A93" i="3"/>
  <c r="A97" i="3"/>
  <c r="A101" i="3"/>
  <c r="A105" i="3"/>
  <c r="A109" i="3"/>
  <c r="A113" i="3"/>
  <c r="A121" i="3"/>
  <c r="L17" i="1"/>
  <c r="D17" i="3" s="1"/>
  <c r="L25" i="1"/>
  <c r="D25" i="3" s="1"/>
  <c r="L33" i="1"/>
  <c r="D33" i="3" s="1"/>
  <c r="L57" i="1"/>
  <c r="D57" i="3" s="1"/>
  <c r="L10" i="1"/>
  <c r="D10" i="3" s="1"/>
  <c r="L26" i="1"/>
  <c r="D26" i="3" s="1"/>
  <c r="L42" i="1"/>
  <c r="D42" i="3" s="1"/>
  <c r="L58" i="1"/>
  <c r="D58" i="3" s="1"/>
  <c r="L82" i="1"/>
  <c r="D82" i="3" s="1"/>
  <c r="L122" i="1"/>
  <c r="D122" i="3" s="1"/>
  <c r="L16" i="1"/>
  <c r="D16" i="3" s="1"/>
  <c r="L24" i="1"/>
  <c r="D24" i="3" s="1"/>
  <c r="L48" i="1"/>
  <c r="D48" i="3" s="1"/>
  <c r="L112" i="1"/>
  <c r="D112" i="3" s="1"/>
  <c r="A5" i="3"/>
  <c r="A49" i="3"/>
  <c r="A77" i="3"/>
  <c r="L2" i="1"/>
  <c r="L18" i="1"/>
  <c r="D18" i="3" s="1"/>
  <c r="L34" i="1"/>
  <c r="D34" i="3" s="1"/>
  <c r="L50" i="1"/>
  <c r="D50" i="3" s="1"/>
  <c r="L66" i="1"/>
  <c r="D66" i="3" s="1"/>
  <c r="L74" i="1"/>
  <c r="D74" i="3" s="1"/>
  <c r="L90" i="1"/>
  <c r="D90" i="3" s="1"/>
  <c r="L98" i="1"/>
  <c r="D98" i="3" s="1"/>
  <c r="L106" i="1"/>
  <c r="D106" i="3" s="1"/>
  <c r="L114" i="1"/>
  <c r="D114" i="3" s="1"/>
  <c r="L3" i="1"/>
  <c r="D3" i="3" s="1"/>
  <c r="L11" i="1"/>
  <c r="D11" i="3" s="1"/>
  <c r="L19" i="1"/>
  <c r="D19" i="3" s="1"/>
  <c r="L27" i="1"/>
  <c r="D27" i="3" s="1"/>
  <c r="L35" i="1"/>
  <c r="D35" i="3" s="1"/>
  <c r="L43" i="1"/>
  <c r="D43" i="3" s="1"/>
  <c r="L51" i="1"/>
  <c r="D51" i="3" s="1"/>
  <c r="L59" i="1"/>
  <c r="D59" i="3" s="1"/>
  <c r="L67" i="1"/>
  <c r="D67" i="3" s="1"/>
  <c r="L75" i="1"/>
  <c r="D75" i="3" s="1"/>
  <c r="L83" i="1"/>
  <c r="D83" i="3" s="1"/>
  <c r="L91" i="1"/>
  <c r="D91" i="3" s="1"/>
  <c r="L99" i="1"/>
  <c r="D99" i="3" s="1"/>
  <c r="L107" i="1"/>
  <c r="D107" i="3" s="1"/>
  <c r="L115" i="1"/>
  <c r="D115" i="3" s="1"/>
  <c r="L123" i="1"/>
  <c r="D123" i="3" s="1"/>
  <c r="L8" i="1"/>
  <c r="D8" i="3" s="1"/>
  <c r="L32" i="1"/>
  <c r="D32" i="3" s="1"/>
  <c r="L40" i="1"/>
  <c r="D40" i="3" s="1"/>
  <c r="L56" i="1"/>
  <c r="D56" i="3" s="1"/>
  <c r="L64" i="1"/>
  <c r="D64" i="3" s="1"/>
  <c r="L72" i="1"/>
  <c r="D72" i="3" s="1"/>
  <c r="L80" i="1"/>
  <c r="D80" i="3" s="1"/>
  <c r="L88" i="1"/>
  <c r="D88" i="3" s="1"/>
  <c r="L96" i="1"/>
  <c r="D96" i="3" s="1"/>
  <c r="L104" i="1"/>
  <c r="D104" i="3" s="1"/>
  <c r="L120" i="1"/>
  <c r="D120" i="3" s="1"/>
  <c r="A13" i="3"/>
  <c r="A37" i="3"/>
  <c r="A69" i="3"/>
  <c r="A117" i="3"/>
  <c r="A7" i="3"/>
  <c r="A15" i="3"/>
  <c r="A23" i="3"/>
  <c r="A31" i="3"/>
  <c r="A39" i="3"/>
  <c r="A47" i="3"/>
  <c r="A55" i="3"/>
  <c r="A63" i="3"/>
  <c r="A71" i="3"/>
  <c r="A79" i="3"/>
  <c r="A87" i="3"/>
  <c r="A95" i="3"/>
  <c r="A103" i="3"/>
  <c r="A111" i="3"/>
  <c r="A119" i="3"/>
  <c r="D21" i="2" l="1"/>
  <c r="D20" i="2"/>
  <c r="D19" i="2"/>
  <c r="D2" i="3"/>
  <c r="D22" i="2"/>
  <c r="G20" i="2" l="1"/>
  <c r="E20" i="2"/>
  <c r="G22" i="2"/>
  <c r="E22" i="2"/>
  <c r="G19" i="2"/>
  <c r="E19" i="2"/>
  <c r="E21" i="2"/>
  <c r="G21" i="2"/>
</calcChain>
</file>

<file path=xl/sharedStrings.xml><?xml version="1.0" encoding="utf-8"?>
<sst xmlns="http://schemas.openxmlformats.org/spreadsheetml/2006/main" count="70" uniqueCount="60">
  <si>
    <t>time_ms</t>
  </si>
  <si>
    <t>accel_x</t>
  </si>
  <si>
    <t>accel_y</t>
  </si>
  <si>
    <t>accel_z</t>
  </si>
  <si>
    <t>gyro_x</t>
  </si>
  <si>
    <t>gyro_y</t>
  </si>
  <si>
    <t>gyro_z</t>
  </si>
  <si>
    <t>accel_magnitude</t>
  </si>
  <si>
    <t>ina240_adc</t>
  </si>
  <si>
    <t>ina240_out_voltage</t>
  </si>
  <si>
    <t>time_s</t>
  </si>
  <si>
    <t>phase</t>
  </si>
  <si>
    <t>Integrated ESP32 Telemetry Test Summary</t>
  </si>
  <si>
    <t>Item</t>
  </si>
  <si>
    <t>Value</t>
  </si>
  <si>
    <t>Unit / Note</t>
  </si>
  <si>
    <t>Project interpretation</t>
  </si>
  <si>
    <t>Number of samples</t>
  </si>
  <si>
    <t>rows</t>
  </si>
  <si>
    <t>123 readings were captured at about 0.5 s intervals.</t>
  </si>
  <si>
    <t>Start time</t>
  </si>
  <si>
    <t>ms</t>
  </si>
  <si>
    <t>ESP32 timestamp at first copied row.</t>
  </si>
  <si>
    <t>End time</t>
  </si>
  <si>
    <t>ESP32 timestamp at final copied row.</t>
  </si>
  <si>
    <t>Duration</t>
  </si>
  <si>
    <t>s</t>
  </si>
  <si>
    <t>The dataset covers about 61.87 s based on ESP32 timestamps.</t>
  </si>
  <si>
    <t>Average sampling interval</t>
  </si>
  <si>
    <t>s/sample</t>
  </si>
  <si>
    <t>Close to the 500 ms delay in the Arduino code.</t>
  </si>
  <si>
    <t>Acceleration magnitude min</t>
  </si>
  <si>
    <t>m s^-2</t>
  </si>
  <si>
    <t>Stationary readings are close to gravitational acceleration; movement phase shows large variation.</t>
  </si>
  <si>
    <t>Acceleration magnitude max</t>
  </si>
  <si>
    <t>Peak values occur during intentional movement.</t>
  </si>
  <si>
    <t>Acceleration magnitude average</t>
  </si>
  <si>
    <t>Average is affected by the movement phases.</t>
  </si>
  <si>
    <t>INA240 OUT voltage min</t>
  </si>
  <si>
    <t>V</t>
  </si>
  <si>
    <t>Analog current-sensor output stayed near the 1.51–1.53 V baseline.</t>
  </si>
  <si>
    <t>INA240 OUT voltage max</t>
  </si>
  <si>
    <t>Small variation indicates stable analog acquisition.</t>
  </si>
  <si>
    <t>INA240 OUT voltage average</t>
  </si>
  <si>
    <t>Used as baseline analog output for later calibration.</t>
  </si>
  <si>
    <t>INA240 voltage range</t>
  </si>
  <si>
    <t>This is the recorded output spread during the integrated test.</t>
  </si>
  <si>
    <t>Phase</t>
  </si>
  <si>
    <t>Start s</t>
  </si>
  <si>
    <t>End s</t>
  </si>
  <si>
    <t>Samples</t>
  </si>
  <si>
    <t>Avg accel magnitude</t>
  </si>
  <si>
    <t>Max accel magnitude</t>
  </si>
  <si>
    <t>Avg INA240 voltage</t>
  </si>
  <si>
    <t>0-15s Stationary</t>
  </si>
  <si>
    <t>15-30s Movement</t>
  </si>
  <si>
    <t>30-45s Movement</t>
  </si>
  <si>
    <t>45-60s Stationary</t>
  </si>
  <si>
    <t>Project note</t>
  </si>
  <si>
    <t>This workbook stores the integrated ESP32 telemetry dataset combining MPU6050 IMU readings and INA240 analog current-sensor output. The dataset covers about 62 seconds based on ESP32 timestamps. Phases are assigned from time_s: 0–15 s stationary, 15–30 s movement, 30–45 s movement, and 45+ s stationary. INA240 is treated as analog output only; current calibration requires confirmed gain and shunt settings.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</si>
</sst>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/>
    </xf>
    <xf numFmtId="176" fontId="0" fillId="0" borderId="0" xfId="1" applyNumberFormat="1" applyFont="1"/>
    <xf numFmtId="1" fontId="0" fillId="0" borderId="0" xfId="1" applyNumberFormat="1" applyFont="1"/>
    <xf numFmtId="0" fontId="3" fillId="0" borderId="0" xfId="1" applyFont="1"/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 vertical="center"/>
    </xf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Acceleration Magnitude vs Time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Integrated_Data!$K$2:$K$124</c:f>
              <c:numCache>
                <c:formatCode>General</c:formatCode>
                <c:ptCount val="123"/>
                <c:pt idx="0">
                  <c:v>0</c:v>
                </c:pt>
                <c:pt idx="1">
                  <c:v>0.503</c:v>
                </c:pt>
                <c:pt idx="2">
                  <c:v>1.006</c:v>
                </c:pt>
                <c:pt idx="3">
                  <c:v>1.5089999999999999</c:v>
                </c:pt>
                <c:pt idx="4">
                  <c:v>2.012</c:v>
                </c:pt>
                <c:pt idx="5">
                  <c:v>2.5150000000000001</c:v>
                </c:pt>
                <c:pt idx="6">
                  <c:v>3.0179999999999998</c:v>
                </c:pt>
                <c:pt idx="7">
                  <c:v>3.5209999999999999</c:v>
                </c:pt>
                <c:pt idx="8">
                  <c:v>4.024</c:v>
                </c:pt>
                <c:pt idx="9">
                  <c:v>4.5270000000000001</c:v>
                </c:pt>
                <c:pt idx="10">
                  <c:v>5.03</c:v>
                </c:pt>
                <c:pt idx="11">
                  <c:v>5.5330000000000004</c:v>
                </c:pt>
                <c:pt idx="12">
                  <c:v>6.0359999999999996</c:v>
                </c:pt>
                <c:pt idx="13">
                  <c:v>6.5389999999999997</c:v>
                </c:pt>
                <c:pt idx="14">
                  <c:v>7.0419999999999998</c:v>
                </c:pt>
                <c:pt idx="15">
                  <c:v>7.5449999999999999</c:v>
                </c:pt>
                <c:pt idx="16">
                  <c:v>8.048</c:v>
                </c:pt>
                <c:pt idx="17">
                  <c:v>8.5510000000000002</c:v>
                </c:pt>
                <c:pt idx="18">
                  <c:v>9.0540000000000003</c:v>
                </c:pt>
                <c:pt idx="19">
                  <c:v>9.5570000000000004</c:v>
                </c:pt>
                <c:pt idx="20">
                  <c:v>10.06</c:v>
                </c:pt>
                <c:pt idx="21">
                  <c:v>10.563000000000001</c:v>
                </c:pt>
                <c:pt idx="22">
                  <c:v>11.066000000000001</c:v>
                </c:pt>
                <c:pt idx="23">
                  <c:v>11.569000000000001</c:v>
                </c:pt>
                <c:pt idx="24">
                  <c:v>12.071999999999999</c:v>
                </c:pt>
                <c:pt idx="25">
                  <c:v>12.574999999999999</c:v>
                </c:pt>
                <c:pt idx="26">
                  <c:v>13.077999999999999</c:v>
                </c:pt>
                <c:pt idx="27">
                  <c:v>13.581</c:v>
                </c:pt>
                <c:pt idx="28">
                  <c:v>14.084</c:v>
                </c:pt>
                <c:pt idx="29">
                  <c:v>14.587</c:v>
                </c:pt>
                <c:pt idx="30">
                  <c:v>15.09</c:v>
                </c:pt>
                <c:pt idx="31">
                  <c:v>15.593</c:v>
                </c:pt>
                <c:pt idx="32">
                  <c:v>16.096</c:v>
                </c:pt>
                <c:pt idx="33">
                  <c:v>16.599</c:v>
                </c:pt>
                <c:pt idx="34">
                  <c:v>17.102</c:v>
                </c:pt>
                <c:pt idx="35">
                  <c:v>17.605</c:v>
                </c:pt>
                <c:pt idx="36">
                  <c:v>18.108000000000001</c:v>
                </c:pt>
                <c:pt idx="37">
                  <c:v>18.611000000000001</c:v>
                </c:pt>
                <c:pt idx="38">
                  <c:v>19.114000000000001</c:v>
                </c:pt>
                <c:pt idx="39">
                  <c:v>19.617000000000001</c:v>
                </c:pt>
                <c:pt idx="40">
                  <c:v>20.12</c:v>
                </c:pt>
                <c:pt idx="41">
                  <c:v>20.623000000000001</c:v>
                </c:pt>
                <c:pt idx="42">
                  <c:v>21.126000000000001</c:v>
                </c:pt>
                <c:pt idx="43">
                  <c:v>21.629000000000001</c:v>
                </c:pt>
                <c:pt idx="44">
                  <c:v>22.132000000000001</c:v>
                </c:pt>
                <c:pt idx="45">
                  <c:v>22.635000000000002</c:v>
                </c:pt>
                <c:pt idx="46">
                  <c:v>23.138000000000002</c:v>
                </c:pt>
                <c:pt idx="47">
                  <c:v>23.640999999999998</c:v>
                </c:pt>
                <c:pt idx="48">
                  <c:v>24.143999999999998</c:v>
                </c:pt>
                <c:pt idx="49">
                  <c:v>24.646999999999998</c:v>
                </c:pt>
                <c:pt idx="50">
                  <c:v>25.15</c:v>
                </c:pt>
                <c:pt idx="51">
                  <c:v>25.654</c:v>
                </c:pt>
                <c:pt idx="52">
                  <c:v>26.157</c:v>
                </c:pt>
                <c:pt idx="53">
                  <c:v>26.66</c:v>
                </c:pt>
                <c:pt idx="54">
                  <c:v>27.163</c:v>
                </c:pt>
                <c:pt idx="55">
                  <c:v>27.666</c:v>
                </c:pt>
                <c:pt idx="56">
                  <c:v>28.169</c:v>
                </c:pt>
                <c:pt idx="57">
                  <c:v>28.672000000000001</c:v>
                </c:pt>
                <c:pt idx="58">
                  <c:v>29.175000000000001</c:v>
                </c:pt>
                <c:pt idx="59">
                  <c:v>29.678000000000001</c:v>
                </c:pt>
                <c:pt idx="60">
                  <c:v>30.181000000000001</c:v>
                </c:pt>
                <c:pt idx="61">
                  <c:v>31.187000000000001</c:v>
                </c:pt>
                <c:pt idx="62">
                  <c:v>31.69</c:v>
                </c:pt>
                <c:pt idx="63">
                  <c:v>32.192999999999998</c:v>
                </c:pt>
                <c:pt idx="64">
                  <c:v>32.695999999999998</c:v>
                </c:pt>
                <c:pt idx="65">
                  <c:v>33.198999999999998</c:v>
                </c:pt>
                <c:pt idx="66">
                  <c:v>33.701999999999998</c:v>
                </c:pt>
                <c:pt idx="67">
                  <c:v>34.204999999999998</c:v>
                </c:pt>
                <c:pt idx="68">
                  <c:v>34.707999999999998</c:v>
                </c:pt>
                <c:pt idx="69">
                  <c:v>35.210999999999999</c:v>
                </c:pt>
                <c:pt idx="70">
                  <c:v>35.713999999999999</c:v>
                </c:pt>
                <c:pt idx="71">
                  <c:v>36.216999999999999</c:v>
                </c:pt>
                <c:pt idx="72">
                  <c:v>36.72</c:v>
                </c:pt>
                <c:pt idx="73">
                  <c:v>37.222999999999999</c:v>
                </c:pt>
                <c:pt idx="74">
                  <c:v>37.725999999999999</c:v>
                </c:pt>
                <c:pt idx="75">
                  <c:v>38.228999999999999</c:v>
                </c:pt>
                <c:pt idx="76">
                  <c:v>38.731999999999999</c:v>
                </c:pt>
                <c:pt idx="77">
                  <c:v>39.234999999999999</c:v>
                </c:pt>
                <c:pt idx="78">
                  <c:v>39.738</c:v>
                </c:pt>
                <c:pt idx="79">
                  <c:v>40.241</c:v>
                </c:pt>
                <c:pt idx="80">
                  <c:v>40.744</c:v>
                </c:pt>
                <c:pt idx="81">
                  <c:v>41.247</c:v>
                </c:pt>
                <c:pt idx="82">
                  <c:v>41.75</c:v>
                </c:pt>
                <c:pt idx="83">
                  <c:v>42.253</c:v>
                </c:pt>
                <c:pt idx="84">
                  <c:v>42.756</c:v>
                </c:pt>
                <c:pt idx="85">
                  <c:v>43.259</c:v>
                </c:pt>
                <c:pt idx="86">
                  <c:v>43.762</c:v>
                </c:pt>
                <c:pt idx="87">
                  <c:v>44.265000000000001</c:v>
                </c:pt>
                <c:pt idx="88">
                  <c:v>44.768000000000001</c:v>
                </c:pt>
                <c:pt idx="89">
                  <c:v>45.271000000000001</c:v>
                </c:pt>
                <c:pt idx="90">
                  <c:v>45.774000000000001</c:v>
                </c:pt>
                <c:pt idx="91">
                  <c:v>46.277000000000001</c:v>
                </c:pt>
                <c:pt idx="92">
                  <c:v>46.78</c:v>
                </c:pt>
                <c:pt idx="93">
                  <c:v>47.283000000000001</c:v>
                </c:pt>
                <c:pt idx="94">
                  <c:v>47.786000000000001</c:v>
                </c:pt>
                <c:pt idx="95">
                  <c:v>48.289000000000001</c:v>
                </c:pt>
                <c:pt idx="96">
                  <c:v>48.792000000000002</c:v>
                </c:pt>
                <c:pt idx="97">
                  <c:v>49.295000000000002</c:v>
                </c:pt>
                <c:pt idx="98">
                  <c:v>49.798000000000002</c:v>
                </c:pt>
                <c:pt idx="99">
                  <c:v>50.301000000000002</c:v>
                </c:pt>
                <c:pt idx="100">
                  <c:v>50.804000000000002</c:v>
                </c:pt>
                <c:pt idx="101">
                  <c:v>51.307000000000002</c:v>
                </c:pt>
                <c:pt idx="102">
                  <c:v>51.81</c:v>
                </c:pt>
                <c:pt idx="103">
                  <c:v>52.313000000000002</c:v>
                </c:pt>
                <c:pt idx="104">
                  <c:v>52.816000000000003</c:v>
                </c:pt>
                <c:pt idx="105">
                  <c:v>53.319000000000003</c:v>
                </c:pt>
                <c:pt idx="106">
                  <c:v>53.822000000000003</c:v>
                </c:pt>
                <c:pt idx="107">
                  <c:v>54.325000000000003</c:v>
                </c:pt>
                <c:pt idx="108">
                  <c:v>54.828000000000003</c:v>
                </c:pt>
                <c:pt idx="109">
                  <c:v>55.331000000000003</c:v>
                </c:pt>
                <c:pt idx="110">
                  <c:v>55.834000000000003</c:v>
                </c:pt>
                <c:pt idx="111">
                  <c:v>56.337000000000003</c:v>
                </c:pt>
                <c:pt idx="112">
                  <c:v>56.84</c:v>
                </c:pt>
                <c:pt idx="113">
                  <c:v>57.343000000000004</c:v>
                </c:pt>
                <c:pt idx="114">
                  <c:v>57.845999999999997</c:v>
                </c:pt>
                <c:pt idx="115">
                  <c:v>58.348999999999997</c:v>
                </c:pt>
                <c:pt idx="116">
                  <c:v>58.851999999999997</c:v>
                </c:pt>
                <c:pt idx="117">
                  <c:v>59.354999999999997</c:v>
                </c:pt>
                <c:pt idx="118">
                  <c:v>59.857999999999997</c:v>
                </c:pt>
                <c:pt idx="119">
                  <c:v>60.360999999999997</c:v>
                </c:pt>
                <c:pt idx="120">
                  <c:v>60.863999999999997</c:v>
                </c:pt>
                <c:pt idx="121">
                  <c:v>61.366999999999997</c:v>
                </c:pt>
                <c:pt idx="122">
                  <c:v>61.87</c:v>
                </c:pt>
              </c:numCache>
            </c:numRef>
          </c:xVal>
          <c:yVal>
            <c:numRef>
              <c:f>Integrated_Data!$H$2:$H$124</c:f>
              <c:numCache>
                <c:formatCode>General</c:formatCode>
                <c:ptCount val="123"/>
                <c:pt idx="0">
                  <c:v>9.5220000000000002</c:v>
                </c:pt>
                <c:pt idx="1">
                  <c:v>9.4619999999999997</c:v>
                </c:pt>
                <c:pt idx="2">
                  <c:v>9.4930000000000003</c:v>
                </c:pt>
                <c:pt idx="3">
                  <c:v>9.4860000000000007</c:v>
                </c:pt>
                <c:pt idx="4">
                  <c:v>9.484</c:v>
                </c:pt>
                <c:pt idx="5">
                  <c:v>9.4740000000000002</c:v>
                </c:pt>
                <c:pt idx="6">
                  <c:v>9.4789999999999992</c:v>
                </c:pt>
                <c:pt idx="7">
                  <c:v>9.4689999999999994</c:v>
                </c:pt>
                <c:pt idx="8">
                  <c:v>9.4770000000000003</c:v>
                </c:pt>
                <c:pt idx="9">
                  <c:v>9.4830000000000005</c:v>
                </c:pt>
                <c:pt idx="10">
                  <c:v>9.4740000000000002</c:v>
                </c:pt>
                <c:pt idx="11">
                  <c:v>9.4600000000000009</c:v>
                </c:pt>
                <c:pt idx="12">
                  <c:v>9.5380000000000003</c:v>
                </c:pt>
                <c:pt idx="13">
                  <c:v>9.4710000000000001</c:v>
                </c:pt>
                <c:pt idx="14">
                  <c:v>9.4740000000000002</c:v>
                </c:pt>
                <c:pt idx="15">
                  <c:v>9.4760000000000009</c:v>
                </c:pt>
                <c:pt idx="16">
                  <c:v>9.4640000000000004</c:v>
                </c:pt>
                <c:pt idx="17">
                  <c:v>9.3859999999999992</c:v>
                </c:pt>
                <c:pt idx="18">
                  <c:v>9.3859999999999992</c:v>
                </c:pt>
                <c:pt idx="19">
                  <c:v>9.4550000000000001</c:v>
                </c:pt>
                <c:pt idx="20">
                  <c:v>9.4719999999999995</c:v>
                </c:pt>
                <c:pt idx="21">
                  <c:v>9.4499999999999993</c:v>
                </c:pt>
                <c:pt idx="22">
                  <c:v>9.4719999999999995</c:v>
                </c:pt>
                <c:pt idx="23">
                  <c:v>9.4600000000000009</c:v>
                </c:pt>
                <c:pt idx="24">
                  <c:v>9.4510000000000005</c:v>
                </c:pt>
                <c:pt idx="25">
                  <c:v>9.4369999999999994</c:v>
                </c:pt>
                <c:pt idx="26">
                  <c:v>9.48</c:v>
                </c:pt>
                <c:pt idx="27">
                  <c:v>9.4489999999999998</c:v>
                </c:pt>
                <c:pt idx="28">
                  <c:v>9.4629999999999992</c:v>
                </c:pt>
                <c:pt idx="29">
                  <c:v>9.6189999999999998</c:v>
                </c:pt>
                <c:pt idx="30">
                  <c:v>9.4120000000000008</c:v>
                </c:pt>
                <c:pt idx="31">
                  <c:v>8.48</c:v>
                </c:pt>
                <c:pt idx="32">
                  <c:v>11.805999999999999</c:v>
                </c:pt>
                <c:pt idx="33">
                  <c:v>7.774</c:v>
                </c:pt>
                <c:pt idx="34">
                  <c:v>13.157999999999999</c:v>
                </c:pt>
                <c:pt idx="35">
                  <c:v>10.901999999999999</c:v>
                </c:pt>
                <c:pt idx="36">
                  <c:v>9.6319999999999997</c:v>
                </c:pt>
                <c:pt idx="37">
                  <c:v>10.692</c:v>
                </c:pt>
                <c:pt idx="38">
                  <c:v>10.458</c:v>
                </c:pt>
                <c:pt idx="39">
                  <c:v>11.206</c:v>
                </c:pt>
                <c:pt idx="40">
                  <c:v>9.8940000000000001</c:v>
                </c:pt>
                <c:pt idx="41">
                  <c:v>8.0220000000000002</c:v>
                </c:pt>
                <c:pt idx="42">
                  <c:v>11.57</c:v>
                </c:pt>
                <c:pt idx="43">
                  <c:v>9.9890000000000008</c:v>
                </c:pt>
                <c:pt idx="44">
                  <c:v>10.436</c:v>
                </c:pt>
                <c:pt idx="45">
                  <c:v>9.1489999999999991</c:v>
                </c:pt>
                <c:pt idx="46">
                  <c:v>10.018000000000001</c:v>
                </c:pt>
                <c:pt idx="47">
                  <c:v>10.875</c:v>
                </c:pt>
                <c:pt idx="48">
                  <c:v>10.15</c:v>
                </c:pt>
                <c:pt idx="49">
                  <c:v>9.3840000000000003</c:v>
                </c:pt>
                <c:pt idx="50">
                  <c:v>10.634</c:v>
                </c:pt>
                <c:pt idx="51">
                  <c:v>10.154</c:v>
                </c:pt>
                <c:pt idx="52">
                  <c:v>9.4350000000000005</c:v>
                </c:pt>
                <c:pt idx="53">
                  <c:v>13.706</c:v>
                </c:pt>
                <c:pt idx="54">
                  <c:v>12.066000000000001</c:v>
                </c:pt>
                <c:pt idx="55">
                  <c:v>12.308</c:v>
                </c:pt>
                <c:pt idx="56">
                  <c:v>11.433</c:v>
                </c:pt>
                <c:pt idx="57">
                  <c:v>10.532999999999999</c:v>
                </c:pt>
                <c:pt idx="58">
                  <c:v>9.8759999999999994</c:v>
                </c:pt>
                <c:pt idx="59">
                  <c:v>8.875</c:v>
                </c:pt>
                <c:pt idx="60">
                  <c:v>8.6709999999999994</c:v>
                </c:pt>
                <c:pt idx="61">
                  <c:v>13.685</c:v>
                </c:pt>
                <c:pt idx="62">
                  <c:v>15.619</c:v>
                </c:pt>
                <c:pt idx="63">
                  <c:v>7.5259999999999998</c:v>
                </c:pt>
                <c:pt idx="64">
                  <c:v>5.726</c:v>
                </c:pt>
                <c:pt idx="65">
                  <c:v>7.2469999999999999</c:v>
                </c:pt>
                <c:pt idx="66">
                  <c:v>8.5779999999999994</c:v>
                </c:pt>
                <c:pt idx="67">
                  <c:v>8.2159999999999993</c:v>
                </c:pt>
                <c:pt idx="68">
                  <c:v>13.198</c:v>
                </c:pt>
                <c:pt idx="69">
                  <c:v>14.276999999999999</c:v>
                </c:pt>
                <c:pt idx="70">
                  <c:v>7.1840000000000002</c:v>
                </c:pt>
                <c:pt idx="71">
                  <c:v>5.093</c:v>
                </c:pt>
                <c:pt idx="72">
                  <c:v>8.5920000000000005</c:v>
                </c:pt>
                <c:pt idx="73">
                  <c:v>14.319000000000001</c:v>
                </c:pt>
                <c:pt idx="74">
                  <c:v>9.01</c:v>
                </c:pt>
                <c:pt idx="75">
                  <c:v>5.6920000000000002</c:v>
                </c:pt>
                <c:pt idx="76">
                  <c:v>8.8450000000000006</c:v>
                </c:pt>
                <c:pt idx="77">
                  <c:v>11.622</c:v>
                </c:pt>
                <c:pt idx="78">
                  <c:v>12.975</c:v>
                </c:pt>
                <c:pt idx="79">
                  <c:v>13.157999999999999</c:v>
                </c:pt>
                <c:pt idx="80">
                  <c:v>10.811</c:v>
                </c:pt>
                <c:pt idx="81">
                  <c:v>7.069</c:v>
                </c:pt>
                <c:pt idx="82">
                  <c:v>6.9130000000000003</c:v>
                </c:pt>
                <c:pt idx="83">
                  <c:v>5.6509999999999998</c:v>
                </c:pt>
                <c:pt idx="84">
                  <c:v>9.3049999999999997</c:v>
                </c:pt>
                <c:pt idx="85">
                  <c:v>11.007999999999999</c:v>
                </c:pt>
                <c:pt idx="86">
                  <c:v>9.4580000000000002</c:v>
                </c:pt>
                <c:pt idx="87">
                  <c:v>5.9080000000000004</c:v>
                </c:pt>
                <c:pt idx="88">
                  <c:v>6.3540000000000001</c:v>
                </c:pt>
                <c:pt idx="89">
                  <c:v>6.1959999999999997</c:v>
                </c:pt>
                <c:pt idx="90">
                  <c:v>5.6319999999999997</c:v>
                </c:pt>
                <c:pt idx="91">
                  <c:v>7.6159999999999997</c:v>
                </c:pt>
                <c:pt idx="92">
                  <c:v>8.8480000000000008</c:v>
                </c:pt>
                <c:pt idx="93">
                  <c:v>9.4949999999999992</c:v>
                </c:pt>
                <c:pt idx="94">
                  <c:v>9.4629999999999992</c:v>
                </c:pt>
                <c:pt idx="95">
                  <c:v>9.5</c:v>
                </c:pt>
                <c:pt idx="96">
                  <c:v>9.4849999999999994</c:v>
                </c:pt>
                <c:pt idx="97">
                  <c:v>9.4730000000000008</c:v>
                </c:pt>
                <c:pt idx="98">
                  <c:v>9.4849999999999994</c:v>
                </c:pt>
                <c:pt idx="99">
                  <c:v>9.4710000000000001</c:v>
                </c:pt>
                <c:pt idx="100">
                  <c:v>9.4990000000000006</c:v>
                </c:pt>
                <c:pt idx="101">
                  <c:v>9.48</c:v>
                </c:pt>
                <c:pt idx="102">
                  <c:v>9.4420000000000002</c:v>
                </c:pt>
                <c:pt idx="103">
                  <c:v>9.4540000000000006</c:v>
                </c:pt>
                <c:pt idx="104">
                  <c:v>9.468</c:v>
                </c:pt>
                <c:pt idx="105">
                  <c:v>9.4749999999999996</c:v>
                </c:pt>
                <c:pt idx="106">
                  <c:v>9.468</c:v>
                </c:pt>
                <c:pt idx="107">
                  <c:v>9.4809999999999999</c:v>
                </c:pt>
                <c:pt idx="108">
                  <c:v>9.5139999999999993</c:v>
                </c:pt>
                <c:pt idx="109">
                  <c:v>9.4540000000000006</c:v>
                </c:pt>
                <c:pt idx="110">
                  <c:v>9.4540000000000006</c:v>
                </c:pt>
                <c:pt idx="111">
                  <c:v>9.4640000000000004</c:v>
                </c:pt>
                <c:pt idx="112">
                  <c:v>9.4589999999999996</c:v>
                </c:pt>
                <c:pt idx="113">
                  <c:v>9.4730000000000008</c:v>
                </c:pt>
                <c:pt idx="114">
                  <c:v>9.4329999999999998</c:v>
                </c:pt>
                <c:pt idx="115">
                  <c:v>9.4760000000000009</c:v>
                </c:pt>
                <c:pt idx="116">
                  <c:v>9.4689999999999994</c:v>
                </c:pt>
                <c:pt idx="117">
                  <c:v>9.4730000000000008</c:v>
                </c:pt>
                <c:pt idx="118">
                  <c:v>9.5020000000000007</c:v>
                </c:pt>
                <c:pt idx="119">
                  <c:v>9.4610000000000003</c:v>
                </c:pt>
                <c:pt idx="120">
                  <c:v>9.4920000000000009</c:v>
                </c:pt>
                <c:pt idx="121">
                  <c:v>9.4540000000000006</c:v>
                </c:pt>
                <c:pt idx="122">
                  <c:v>9.49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EE-4A1A-9888-85D66D763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32527"/>
        <c:axId val="450530607"/>
      </c:scatterChart>
      <c:valAx>
        <c:axId val="45053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0530607"/>
        <c:crosses val="autoZero"/>
        <c:crossBetween val="midCat"/>
      </c:valAx>
      <c:valAx>
        <c:axId val="45053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053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INA240 OUT Voltage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Integrated_Data!$K$1</c:f>
              <c:strCache>
                <c:ptCount val="1"/>
                <c:pt idx="0">
                  <c:v>time_s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Integrated_Data!$K$2:$K$124</c:f>
              <c:numCache>
                <c:formatCode>General</c:formatCode>
                <c:ptCount val="123"/>
                <c:pt idx="0">
                  <c:v>0</c:v>
                </c:pt>
                <c:pt idx="1">
                  <c:v>0.503</c:v>
                </c:pt>
                <c:pt idx="2">
                  <c:v>1.006</c:v>
                </c:pt>
                <c:pt idx="3">
                  <c:v>1.5089999999999999</c:v>
                </c:pt>
                <c:pt idx="4">
                  <c:v>2.012</c:v>
                </c:pt>
                <c:pt idx="5">
                  <c:v>2.5150000000000001</c:v>
                </c:pt>
                <c:pt idx="6">
                  <c:v>3.0179999999999998</c:v>
                </c:pt>
                <c:pt idx="7">
                  <c:v>3.5209999999999999</c:v>
                </c:pt>
                <c:pt idx="8">
                  <c:v>4.024</c:v>
                </c:pt>
                <c:pt idx="9">
                  <c:v>4.5270000000000001</c:v>
                </c:pt>
                <c:pt idx="10">
                  <c:v>5.03</c:v>
                </c:pt>
                <c:pt idx="11">
                  <c:v>5.5330000000000004</c:v>
                </c:pt>
                <c:pt idx="12">
                  <c:v>6.0359999999999996</c:v>
                </c:pt>
                <c:pt idx="13">
                  <c:v>6.5389999999999997</c:v>
                </c:pt>
                <c:pt idx="14">
                  <c:v>7.0419999999999998</c:v>
                </c:pt>
                <c:pt idx="15">
                  <c:v>7.5449999999999999</c:v>
                </c:pt>
                <c:pt idx="16">
                  <c:v>8.048</c:v>
                </c:pt>
                <c:pt idx="17">
                  <c:v>8.5510000000000002</c:v>
                </c:pt>
                <c:pt idx="18">
                  <c:v>9.0540000000000003</c:v>
                </c:pt>
                <c:pt idx="19">
                  <c:v>9.5570000000000004</c:v>
                </c:pt>
                <c:pt idx="20">
                  <c:v>10.06</c:v>
                </c:pt>
                <c:pt idx="21">
                  <c:v>10.563000000000001</c:v>
                </c:pt>
                <c:pt idx="22">
                  <c:v>11.066000000000001</c:v>
                </c:pt>
                <c:pt idx="23">
                  <c:v>11.569000000000001</c:v>
                </c:pt>
                <c:pt idx="24">
                  <c:v>12.071999999999999</c:v>
                </c:pt>
                <c:pt idx="25">
                  <c:v>12.574999999999999</c:v>
                </c:pt>
                <c:pt idx="26">
                  <c:v>13.077999999999999</c:v>
                </c:pt>
                <c:pt idx="27">
                  <c:v>13.581</c:v>
                </c:pt>
                <c:pt idx="28">
                  <c:v>14.084</c:v>
                </c:pt>
                <c:pt idx="29">
                  <c:v>14.587</c:v>
                </c:pt>
                <c:pt idx="30">
                  <c:v>15.09</c:v>
                </c:pt>
                <c:pt idx="31">
                  <c:v>15.593</c:v>
                </c:pt>
                <c:pt idx="32">
                  <c:v>16.096</c:v>
                </c:pt>
                <c:pt idx="33">
                  <c:v>16.599</c:v>
                </c:pt>
                <c:pt idx="34">
                  <c:v>17.102</c:v>
                </c:pt>
                <c:pt idx="35">
                  <c:v>17.605</c:v>
                </c:pt>
                <c:pt idx="36">
                  <c:v>18.108000000000001</c:v>
                </c:pt>
                <c:pt idx="37">
                  <c:v>18.611000000000001</c:v>
                </c:pt>
                <c:pt idx="38">
                  <c:v>19.114000000000001</c:v>
                </c:pt>
                <c:pt idx="39">
                  <c:v>19.617000000000001</c:v>
                </c:pt>
                <c:pt idx="40">
                  <c:v>20.12</c:v>
                </c:pt>
                <c:pt idx="41">
                  <c:v>20.623000000000001</c:v>
                </c:pt>
                <c:pt idx="42">
                  <c:v>21.126000000000001</c:v>
                </c:pt>
                <c:pt idx="43">
                  <c:v>21.629000000000001</c:v>
                </c:pt>
                <c:pt idx="44">
                  <c:v>22.132000000000001</c:v>
                </c:pt>
                <c:pt idx="45">
                  <c:v>22.635000000000002</c:v>
                </c:pt>
                <c:pt idx="46">
                  <c:v>23.138000000000002</c:v>
                </c:pt>
                <c:pt idx="47">
                  <c:v>23.640999999999998</c:v>
                </c:pt>
                <c:pt idx="48">
                  <c:v>24.143999999999998</c:v>
                </c:pt>
                <c:pt idx="49">
                  <c:v>24.646999999999998</c:v>
                </c:pt>
                <c:pt idx="50">
                  <c:v>25.15</c:v>
                </c:pt>
                <c:pt idx="51">
                  <c:v>25.654</c:v>
                </c:pt>
                <c:pt idx="52">
                  <c:v>26.157</c:v>
                </c:pt>
                <c:pt idx="53">
                  <c:v>26.66</c:v>
                </c:pt>
                <c:pt idx="54">
                  <c:v>27.163</c:v>
                </c:pt>
                <c:pt idx="55">
                  <c:v>27.666</c:v>
                </c:pt>
                <c:pt idx="56">
                  <c:v>28.169</c:v>
                </c:pt>
                <c:pt idx="57">
                  <c:v>28.672000000000001</c:v>
                </c:pt>
                <c:pt idx="58">
                  <c:v>29.175000000000001</c:v>
                </c:pt>
                <c:pt idx="59">
                  <c:v>29.678000000000001</c:v>
                </c:pt>
                <c:pt idx="60">
                  <c:v>30.181000000000001</c:v>
                </c:pt>
                <c:pt idx="61">
                  <c:v>31.187000000000001</c:v>
                </c:pt>
                <c:pt idx="62">
                  <c:v>31.69</c:v>
                </c:pt>
                <c:pt idx="63">
                  <c:v>32.192999999999998</c:v>
                </c:pt>
                <c:pt idx="64">
                  <c:v>32.695999999999998</c:v>
                </c:pt>
                <c:pt idx="65">
                  <c:v>33.198999999999998</c:v>
                </c:pt>
                <c:pt idx="66">
                  <c:v>33.701999999999998</c:v>
                </c:pt>
                <c:pt idx="67">
                  <c:v>34.204999999999998</c:v>
                </c:pt>
                <c:pt idx="68">
                  <c:v>34.707999999999998</c:v>
                </c:pt>
                <c:pt idx="69">
                  <c:v>35.210999999999999</c:v>
                </c:pt>
                <c:pt idx="70">
                  <c:v>35.713999999999999</c:v>
                </c:pt>
                <c:pt idx="71">
                  <c:v>36.216999999999999</c:v>
                </c:pt>
                <c:pt idx="72">
                  <c:v>36.72</c:v>
                </c:pt>
                <c:pt idx="73">
                  <c:v>37.222999999999999</c:v>
                </c:pt>
                <c:pt idx="74">
                  <c:v>37.725999999999999</c:v>
                </c:pt>
                <c:pt idx="75">
                  <c:v>38.228999999999999</c:v>
                </c:pt>
                <c:pt idx="76">
                  <c:v>38.731999999999999</c:v>
                </c:pt>
                <c:pt idx="77">
                  <c:v>39.234999999999999</c:v>
                </c:pt>
                <c:pt idx="78">
                  <c:v>39.738</c:v>
                </c:pt>
                <c:pt idx="79">
                  <c:v>40.241</c:v>
                </c:pt>
                <c:pt idx="80">
                  <c:v>40.744</c:v>
                </c:pt>
                <c:pt idx="81">
                  <c:v>41.247</c:v>
                </c:pt>
                <c:pt idx="82">
                  <c:v>41.75</c:v>
                </c:pt>
                <c:pt idx="83">
                  <c:v>42.253</c:v>
                </c:pt>
                <c:pt idx="84">
                  <c:v>42.756</c:v>
                </c:pt>
                <c:pt idx="85">
                  <c:v>43.259</c:v>
                </c:pt>
                <c:pt idx="86">
                  <c:v>43.762</c:v>
                </c:pt>
                <c:pt idx="87">
                  <c:v>44.265000000000001</c:v>
                </c:pt>
                <c:pt idx="88">
                  <c:v>44.768000000000001</c:v>
                </c:pt>
                <c:pt idx="89">
                  <c:v>45.271000000000001</c:v>
                </c:pt>
                <c:pt idx="90">
                  <c:v>45.774000000000001</c:v>
                </c:pt>
                <c:pt idx="91">
                  <c:v>46.277000000000001</c:v>
                </c:pt>
                <c:pt idx="92">
                  <c:v>46.78</c:v>
                </c:pt>
                <c:pt idx="93">
                  <c:v>47.283000000000001</c:v>
                </c:pt>
                <c:pt idx="94">
                  <c:v>47.786000000000001</c:v>
                </c:pt>
                <c:pt idx="95">
                  <c:v>48.289000000000001</c:v>
                </c:pt>
                <c:pt idx="96">
                  <c:v>48.792000000000002</c:v>
                </c:pt>
                <c:pt idx="97">
                  <c:v>49.295000000000002</c:v>
                </c:pt>
                <c:pt idx="98">
                  <c:v>49.798000000000002</c:v>
                </c:pt>
                <c:pt idx="99">
                  <c:v>50.301000000000002</c:v>
                </c:pt>
                <c:pt idx="100">
                  <c:v>50.804000000000002</c:v>
                </c:pt>
                <c:pt idx="101">
                  <c:v>51.307000000000002</c:v>
                </c:pt>
                <c:pt idx="102">
                  <c:v>51.81</c:v>
                </c:pt>
                <c:pt idx="103">
                  <c:v>52.313000000000002</c:v>
                </c:pt>
                <c:pt idx="104">
                  <c:v>52.816000000000003</c:v>
                </c:pt>
                <c:pt idx="105">
                  <c:v>53.319000000000003</c:v>
                </c:pt>
                <c:pt idx="106">
                  <c:v>53.822000000000003</c:v>
                </c:pt>
                <c:pt idx="107">
                  <c:v>54.325000000000003</c:v>
                </c:pt>
                <c:pt idx="108">
                  <c:v>54.828000000000003</c:v>
                </c:pt>
                <c:pt idx="109">
                  <c:v>55.331000000000003</c:v>
                </c:pt>
                <c:pt idx="110">
                  <c:v>55.834000000000003</c:v>
                </c:pt>
                <c:pt idx="111">
                  <c:v>56.337000000000003</c:v>
                </c:pt>
                <c:pt idx="112">
                  <c:v>56.84</c:v>
                </c:pt>
                <c:pt idx="113">
                  <c:v>57.343000000000004</c:v>
                </c:pt>
                <c:pt idx="114">
                  <c:v>57.845999999999997</c:v>
                </c:pt>
                <c:pt idx="115">
                  <c:v>58.348999999999997</c:v>
                </c:pt>
                <c:pt idx="116">
                  <c:v>58.851999999999997</c:v>
                </c:pt>
                <c:pt idx="117">
                  <c:v>59.354999999999997</c:v>
                </c:pt>
                <c:pt idx="118">
                  <c:v>59.857999999999997</c:v>
                </c:pt>
                <c:pt idx="119">
                  <c:v>60.360999999999997</c:v>
                </c:pt>
                <c:pt idx="120">
                  <c:v>60.863999999999997</c:v>
                </c:pt>
                <c:pt idx="121">
                  <c:v>61.366999999999997</c:v>
                </c:pt>
                <c:pt idx="122">
                  <c:v>61.87</c:v>
                </c:pt>
              </c:numCache>
            </c:numRef>
          </c:xVal>
          <c:yVal>
            <c:numRef>
              <c:f>Integrated_Data!$J$2:$J$124</c:f>
              <c:numCache>
                <c:formatCode>General</c:formatCode>
                <c:ptCount val="123"/>
                <c:pt idx="0">
                  <c:v>1.516</c:v>
                </c:pt>
                <c:pt idx="1">
                  <c:v>1.514</c:v>
                </c:pt>
                <c:pt idx="2">
                  <c:v>1.524</c:v>
                </c:pt>
                <c:pt idx="3">
                  <c:v>1.5209999999999999</c:v>
                </c:pt>
                <c:pt idx="4">
                  <c:v>1.5209999999999999</c:v>
                </c:pt>
                <c:pt idx="5">
                  <c:v>1.516</c:v>
                </c:pt>
                <c:pt idx="6">
                  <c:v>1.5169999999999999</c:v>
                </c:pt>
                <c:pt idx="7">
                  <c:v>1.5249999999999999</c:v>
                </c:pt>
                <c:pt idx="8">
                  <c:v>1.516</c:v>
                </c:pt>
                <c:pt idx="9">
                  <c:v>1.5189999999999999</c:v>
                </c:pt>
                <c:pt idx="10">
                  <c:v>1.5169999999999999</c:v>
                </c:pt>
                <c:pt idx="11">
                  <c:v>1.5169999999999999</c:v>
                </c:pt>
                <c:pt idx="12">
                  <c:v>1.522</c:v>
                </c:pt>
                <c:pt idx="13">
                  <c:v>1.5209999999999999</c:v>
                </c:pt>
                <c:pt idx="14">
                  <c:v>1.5109999999999999</c:v>
                </c:pt>
                <c:pt idx="15">
                  <c:v>1.5229999999999999</c:v>
                </c:pt>
                <c:pt idx="16">
                  <c:v>1.5129999999999999</c:v>
                </c:pt>
                <c:pt idx="17">
                  <c:v>1.5189999999999999</c:v>
                </c:pt>
                <c:pt idx="18">
                  <c:v>1.5169999999999999</c:v>
                </c:pt>
                <c:pt idx="19">
                  <c:v>1.522</c:v>
                </c:pt>
                <c:pt idx="20">
                  <c:v>1.514</c:v>
                </c:pt>
                <c:pt idx="21">
                  <c:v>1.5149999999999999</c:v>
                </c:pt>
                <c:pt idx="22">
                  <c:v>1.5209999999999999</c:v>
                </c:pt>
                <c:pt idx="23">
                  <c:v>1.522</c:v>
                </c:pt>
                <c:pt idx="24">
                  <c:v>1.522</c:v>
                </c:pt>
                <c:pt idx="25">
                  <c:v>1.516</c:v>
                </c:pt>
                <c:pt idx="26">
                  <c:v>1.5189999999999999</c:v>
                </c:pt>
                <c:pt idx="27">
                  <c:v>1.5209999999999999</c:v>
                </c:pt>
                <c:pt idx="28">
                  <c:v>1.5109999999999999</c:v>
                </c:pt>
                <c:pt idx="29">
                  <c:v>1.5249999999999999</c:v>
                </c:pt>
                <c:pt idx="30">
                  <c:v>1.5129999999999999</c:v>
                </c:pt>
                <c:pt idx="31">
                  <c:v>1.5169999999999999</c:v>
                </c:pt>
                <c:pt idx="32">
                  <c:v>1.5189999999999999</c:v>
                </c:pt>
                <c:pt idx="33">
                  <c:v>1.524</c:v>
                </c:pt>
                <c:pt idx="34">
                  <c:v>1.53</c:v>
                </c:pt>
                <c:pt idx="35">
                  <c:v>1.5109999999999999</c:v>
                </c:pt>
                <c:pt idx="36">
                  <c:v>1.5209999999999999</c:v>
                </c:pt>
                <c:pt idx="37">
                  <c:v>1.5209999999999999</c:v>
                </c:pt>
                <c:pt idx="38">
                  <c:v>1.5189999999999999</c:v>
                </c:pt>
                <c:pt idx="39">
                  <c:v>1.5209999999999999</c:v>
                </c:pt>
                <c:pt idx="40">
                  <c:v>1.516</c:v>
                </c:pt>
                <c:pt idx="41">
                  <c:v>1.5189999999999999</c:v>
                </c:pt>
                <c:pt idx="42">
                  <c:v>1.516</c:v>
                </c:pt>
                <c:pt idx="43">
                  <c:v>1.5209999999999999</c:v>
                </c:pt>
                <c:pt idx="44">
                  <c:v>1.5189999999999999</c:v>
                </c:pt>
                <c:pt idx="45">
                  <c:v>1.52</c:v>
                </c:pt>
                <c:pt idx="46">
                  <c:v>1.5129999999999999</c:v>
                </c:pt>
                <c:pt idx="47">
                  <c:v>1.5109999999999999</c:v>
                </c:pt>
                <c:pt idx="48">
                  <c:v>1.5169999999999999</c:v>
                </c:pt>
                <c:pt idx="49">
                  <c:v>1.5229999999999999</c:v>
                </c:pt>
                <c:pt idx="50">
                  <c:v>1.52</c:v>
                </c:pt>
                <c:pt idx="51">
                  <c:v>1.514</c:v>
                </c:pt>
                <c:pt idx="52">
                  <c:v>1.5129999999999999</c:v>
                </c:pt>
                <c:pt idx="53">
                  <c:v>1.5189999999999999</c:v>
                </c:pt>
                <c:pt idx="54">
                  <c:v>1.5169999999999999</c:v>
                </c:pt>
                <c:pt idx="55">
                  <c:v>1.5209999999999999</c:v>
                </c:pt>
                <c:pt idx="56">
                  <c:v>1.5169999999999999</c:v>
                </c:pt>
                <c:pt idx="57">
                  <c:v>1.5169999999999999</c:v>
                </c:pt>
                <c:pt idx="58">
                  <c:v>1.5169999999999999</c:v>
                </c:pt>
                <c:pt idx="59">
                  <c:v>1.524</c:v>
                </c:pt>
                <c:pt idx="60">
                  <c:v>1.5229999999999999</c:v>
                </c:pt>
                <c:pt idx="61">
                  <c:v>1.5169999999999999</c:v>
                </c:pt>
                <c:pt idx="62">
                  <c:v>1.508</c:v>
                </c:pt>
                <c:pt idx="63">
                  <c:v>1.52</c:v>
                </c:pt>
                <c:pt idx="64">
                  <c:v>1.5209999999999999</c:v>
                </c:pt>
                <c:pt idx="65">
                  <c:v>1.5229999999999999</c:v>
                </c:pt>
                <c:pt idx="66">
                  <c:v>1.5169999999999999</c:v>
                </c:pt>
                <c:pt idx="67">
                  <c:v>1.5169999999999999</c:v>
                </c:pt>
                <c:pt idx="68">
                  <c:v>1.5169999999999999</c:v>
                </c:pt>
                <c:pt idx="69">
                  <c:v>1.5169999999999999</c:v>
                </c:pt>
                <c:pt idx="70">
                  <c:v>1.5209999999999999</c:v>
                </c:pt>
                <c:pt idx="71">
                  <c:v>1.5189999999999999</c:v>
                </c:pt>
                <c:pt idx="72">
                  <c:v>1.5249999999999999</c:v>
                </c:pt>
                <c:pt idx="73">
                  <c:v>1.5229999999999999</c:v>
                </c:pt>
                <c:pt idx="74">
                  <c:v>1.518</c:v>
                </c:pt>
                <c:pt idx="75">
                  <c:v>1.5169999999999999</c:v>
                </c:pt>
                <c:pt idx="76">
                  <c:v>1.5229999999999999</c:v>
                </c:pt>
                <c:pt idx="77">
                  <c:v>1.5169999999999999</c:v>
                </c:pt>
                <c:pt idx="78">
                  <c:v>1.5169999999999999</c:v>
                </c:pt>
                <c:pt idx="79">
                  <c:v>1.5209999999999999</c:v>
                </c:pt>
                <c:pt idx="80">
                  <c:v>1.52</c:v>
                </c:pt>
                <c:pt idx="81">
                  <c:v>1.5209999999999999</c:v>
                </c:pt>
                <c:pt idx="82">
                  <c:v>1.5189999999999999</c:v>
                </c:pt>
                <c:pt idx="83">
                  <c:v>1.524</c:v>
                </c:pt>
                <c:pt idx="84">
                  <c:v>1.5189999999999999</c:v>
                </c:pt>
                <c:pt idx="85">
                  <c:v>1.5169999999999999</c:v>
                </c:pt>
                <c:pt idx="86">
                  <c:v>1.522</c:v>
                </c:pt>
                <c:pt idx="87">
                  <c:v>1.5189999999999999</c:v>
                </c:pt>
                <c:pt idx="88">
                  <c:v>1.522</c:v>
                </c:pt>
                <c:pt idx="89">
                  <c:v>1.5209999999999999</c:v>
                </c:pt>
                <c:pt idx="90">
                  <c:v>1.514</c:v>
                </c:pt>
                <c:pt idx="91">
                  <c:v>1.5169999999999999</c:v>
                </c:pt>
                <c:pt idx="92">
                  <c:v>1.5109999999999999</c:v>
                </c:pt>
                <c:pt idx="93">
                  <c:v>1.5209999999999999</c:v>
                </c:pt>
                <c:pt idx="94">
                  <c:v>1.5189999999999999</c:v>
                </c:pt>
                <c:pt idx="95">
                  <c:v>1.5129999999999999</c:v>
                </c:pt>
                <c:pt idx="96">
                  <c:v>1.516</c:v>
                </c:pt>
                <c:pt idx="97">
                  <c:v>1.5189999999999999</c:v>
                </c:pt>
                <c:pt idx="98">
                  <c:v>1.52</c:v>
                </c:pt>
                <c:pt idx="99">
                  <c:v>1.5169999999999999</c:v>
                </c:pt>
                <c:pt idx="100">
                  <c:v>1.5129999999999999</c:v>
                </c:pt>
                <c:pt idx="101">
                  <c:v>1.5209999999999999</c:v>
                </c:pt>
                <c:pt idx="102">
                  <c:v>1.5169999999999999</c:v>
                </c:pt>
                <c:pt idx="103">
                  <c:v>1.5229999999999999</c:v>
                </c:pt>
                <c:pt idx="104">
                  <c:v>1.52</c:v>
                </c:pt>
                <c:pt idx="105">
                  <c:v>1.5209999999999999</c:v>
                </c:pt>
                <c:pt idx="106">
                  <c:v>1.5209999999999999</c:v>
                </c:pt>
                <c:pt idx="107">
                  <c:v>1.514</c:v>
                </c:pt>
                <c:pt idx="108">
                  <c:v>1.524</c:v>
                </c:pt>
                <c:pt idx="109">
                  <c:v>1.5229999999999999</c:v>
                </c:pt>
                <c:pt idx="110">
                  <c:v>1.5109999999999999</c:v>
                </c:pt>
                <c:pt idx="111">
                  <c:v>1.5129999999999999</c:v>
                </c:pt>
                <c:pt idx="112">
                  <c:v>1.518</c:v>
                </c:pt>
                <c:pt idx="113">
                  <c:v>1.5129999999999999</c:v>
                </c:pt>
                <c:pt idx="114">
                  <c:v>1.5169999999999999</c:v>
                </c:pt>
                <c:pt idx="115">
                  <c:v>1.5169999999999999</c:v>
                </c:pt>
                <c:pt idx="116">
                  <c:v>1.5189999999999999</c:v>
                </c:pt>
                <c:pt idx="117">
                  <c:v>1.5169999999999999</c:v>
                </c:pt>
                <c:pt idx="118">
                  <c:v>1.514</c:v>
                </c:pt>
                <c:pt idx="119">
                  <c:v>1.516</c:v>
                </c:pt>
                <c:pt idx="120">
                  <c:v>1.522</c:v>
                </c:pt>
                <c:pt idx="121">
                  <c:v>1.5209999999999999</c:v>
                </c:pt>
                <c:pt idx="122">
                  <c:v>1.5249999999999999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3B-475C-8694-1FFBFB5A5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28207"/>
        <c:axId val="450511887"/>
      </c:scatterChart>
      <c:valAx>
        <c:axId val="45052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0511887"/>
        <c:crosses val="autoZero"/>
        <c:crossBetween val="midCat"/>
      </c:valAx>
      <c:valAx>
        <c:axId val="45051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052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Acceleration Magnitude vs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accel_magnitude</c:v>
          </c:tx>
          <c:cat>
            <c:numRef>
              <c:f>Charts!$A$2:$A$124</c:f>
              <c:numCache>
                <c:formatCode>0.000</c:formatCode>
                <c:ptCount val="123"/>
                <c:pt idx="0">
                  <c:v>0</c:v>
                </c:pt>
                <c:pt idx="1">
                  <c:v>0.503</c:v>
                </c:pt>
                <c:pt idx="2">
                  <c:v>1.006</c:v>
                </c:pt>
                <c:pt idx="3">
                  <c:v>1.5089999999999999</c:v>
                </c:pt>
                <c:pt idx="4">
                  <c:v>2.012</c:v>
                </c:pt>
                <c:pt idx="5">
                  <c:v>2.5150000000000001</c:v>
                </c:pt>
                <c:pt idx="6">
                  <c:v>3.0179999999999998</c:v>
                </c:pt>
                <c:pt idx="7">
                  <c:v>3.5209999999999999</c:v>
                </c:pt>
                <c:pt idx="8">
                  <c:v>4.024</c:v>
                </c:pt>
                <c:pt idx="9">
                  <c:v>4.5270000000000001</c:v>
                </c:pt>
                <c:pt idx="10">
                  <c:v>5.03</c:v>
                </c:pt>
                <c:pt idx="11">
                  <c:v>5.5330000000000004</c:v>
                </c:pt>
                <c:pt idx="12">
                  <c:v>6.0359999999999996</c:v>
                </c:pt>
                <c:pt idx="13">
                  <c:v>6.5389999999999997</c:v>
                </c:pt>
                <c:pt idx="14">
                  <c:v>7.0419999999999998</c:v>
                </c:pt>
                <c:pt idx="15">
                  <c:v>7.5449999999999999</c:v>
                </c:pt>
                <c:pt idx="16">
                  <c:v>8.048</c:v>
                </c:pt>
                <c:pt idx="17">
                  <c:v>8.5510000000000002</c:v>
                </c:pt>
                <c:pt idx="18">
                  <c:v>9.0540000000000003</c:v>
                </c:pt>
                <c:pt idx="19">
                  <c:v>9.5570000000000004</c:v>
                </c:pt>
                <c:pt idx="20">
                  <c:v>10.06</c:v>
                </c:pt>
                <c:pt idx="21">
                  <c:v>10.563000000000001</c:v>
                </c:pt>
                <c:pt idx="22">
                  <c:v>11.066000000000001</c:v>
                </c:pt>
                <c:pt idx="23">
                  <c:v>11.569000000000001</c:v>
                </c:pt>
                <c:pt idx="24">
                  <c:v>12.071999999999999</c:v>
                </c:pt>
                <c:pt idx="25">
                  <c:v>12.574999999999999</c:v>
                </c:pt>
                <c:pt idx="26">
                  <c:v>13.077999999999999</c:v>
                </c:pt>
                <c:pt idx="27">
                  <c:v>13.581</c:v>
                </c:pt>
                <c:pt idx="28">
                  <c:v>14.084</c:v>
                </c:pt>
                <c:pt idx="29">
                  <c:v>14.587</c:v>
                </c:pt>
                <c:pt idx="30">
                  <c:v>15.09</c:v>
                </c:pt>
                <c:pt idx="31">
                  <c:v>15.593</c:v>
                </c:pt>
                <c:pt idx="32">
                  <c:v>16.096</c:v>
                </c:pt>
                <c:pt idx="33">
                  <c:v>16.599</c:v>
                </c:pt>
                <c:pt idx="34">
                  <c:v>17.102</c:v>
                </c:pt>
                <c:pt idx="35">
                  <c:v>17.605</c:v>
                </c:pt>
                <c:pt idx="36">
                  <c:v>18.108000000000001</c:v>
                </c:pt>
                <c:pt idx="37">
                  <c:v>18.611000000000001</c:v>
                </c:pt>
                <c:pt idx="38">
                  <c:v>19.114000000000001</c:v>
                </c:pt>
                <c:pt idx="39">
                  <c:v>19.617000000000001</c:v>
                </c:pt>
                <c:pt idx="40">
                  <c:v>20.12</c:v>
                </c:pt>
                <c:pt idx="41">
                  <c:v>20.623000000000001</c:v>
                </c:pt>
                <c:pt idx="42">
                  <c:v>21.126000000000001</c:v>
                </c:pt>
                <c:pt idx="43">
                  <c:v>21.629000000000001</c:v>
                </c:pt>
                <c:pt idx="44">
                  <c:v>22.132000000000001</c:v>
                </c:pt>
                <c:pt idx="45">
                  <c:v>22.635000000000002</c:v>
                </c:pt>
                <c:pt idx="46">
                  <c:v>23.138000000000002</c:v>
                </c:pt>
                <c:pt idx="47">
                  <c:v>23.640999999999998</c:v>
                </c:pt>
                <c:pt idx="48">
                  <c:v>24.143999999999998</c:v>
                </c:pt>
                <c:pt idx="49">
                  <c:v>24.646999999999998</c:v>
                </c:pt>
                <c:pt idx="50">
                  <c:v>25.15</c:v>
                </c:pt>
                <c:pt idx="51">
                  <c:v>25.654</c:v>
                </c:pt>
                <c:pt idx="52">
                  <c:v>26.157</c:v>
                </c:pt>
                <c:pt idx="53">
                  <c:v>26.66</c:v>
                </c:pt>
                <c:pt idx="54">
                  <c:v>27.163</c:v>
                </c:pt>
                <c:pt idx="55">
                  <c:v>27.666</c:v>
                </c:pt>
                <c:pt idx="56">
                  <c:v>28.169</c:v>
                </c:pt>
                <c:pt idx="57">
                  <c:v>28.672000000000001</c:v>
                </c:pt>
                <c:pt idx="58">
                  <c:v>29.175000000000001</c:v>
                </c:pt>
                <c:pt idx="59">
                  <c:v>29.678000000000001</c:v>
                </c:pt>
                <c:pt idx="60">
                  <c:v>30.181000000000001</c:v>
                </c:pt>
                <c:pt idx="61">
                  <c:v>31.187000000000001</c:v>
                </c:pt>
                <c:pt idx="62">
                  <c:v>31.69</c:v>
                </c:pt>
                <c:pt idx="63">
                  <c:v>32.192999999999998</c:v>
                </c:pt>
                <c:pt idx="64">
                  <c:v>32.695999999999998</c:v>
                </c:pt>
                <c:pt idx="65">
                  <c:v>33.198999999999998</c:v>
                </c:pt>
                <c:pt idx="66">
                  <c:v>33.701999999999998</c:v>
                </c:pt>
                <c:pt idx="67">
                  <c:v>34.204999999999998</c:v>
                </c:pt>
                <c:pt idx="68">
                  <c:v>34.707999999999998</c:v>
                </c:pt>
                <c:pt idx="69">
                  <c:v>35.210999999999999</c:v>
                </c:pt>
                <c:pt idx="70">
                  <c:v>35.713999999999999</c:v>
                </c:pt>
                <c:pt idx="71">
                  <c:v>36.216999999999999</c:v>
                </c:pt>
                <c:pt idx="72">
                  <c:v>36.72</c:v>
                </c:pt>
                <c:pt idx="73">
                  <c:v>37.222999999999999</c:v>
                </c:pt>
                <c:pt idx="74">
                  <c:v>37.725999999999999</c:v>
                </c:pt>
                <c:pt idx="75">
                  <c:v>38.228999999999999</c:v>
                </c:pt>
                <c:pt idx="76">
                  <c:v>38.731999999999999</c:v>
                </c:pt>
                <c:pt idx="77">
                  <c:v>39.234999999999999</c:v>
                </c:pt>
                <c:pt idx="78">
                  <c:v>39.738</c:v>
                </c:pt>
                <c:pt idx="79">
                  <c:v>40.241</c:v>
                </c:pt>
                <c:pt idx="80">
                  <c:v>40.744</c:v>
                </c:pt>
                <c:pt idx="81">
                  <c:v>41.247</c:v>
                </c:pt>
                <c:pt idx="82">
                  <c:v>41.75</c:v>
                </c:pt>
                <c:pt idx="83">
                  <c:v>42.253</c:v>
                </c:pt>
                <c:pt idx="84">
                  <c:v>42.756</c:v>
                </c:pt>
                <c:pt idx="85">
                  <c:v>43.259</c:v>
                </c:pt>
                <c:pt idx="86">
                  <c:v>43.762</c:v>
                </c:pt>
                <c:pt idx="87">
                  <c:v>44.265000000000001</c:v>
                </c:pt>
                <c:pt idx="88">
                  <c:v>44.768000000000001</c:v>
                </c:pt>
                <c:pt idx="89">
                  <c:v>45.271000000000001</c:v>
                </c:pt>
                <c:pt idx="90">
                  <c:v>45.774000000000001</c:v>
                </c:pt>
                <c:pt idx="91">
                  <c:v>46.277000000000001</c:v>
                </c:pt>
                <c:pt idx="92">
                  <c:v>46.78</c:v>
                </c:pt>
                <c:pt idx="93">
                  <c:v>47.283000000000001</c:v>
                </c:pt>
                <c:pt idx="94">
                  <c:v>47.786000000000001</c:v>
                </c:pt>
                <c:pt idx="95">
                  <c:v>48.289000000000001</c:v>
                </c:pt>
                <c:pt idx="96">
                  <c:v>48.792000000000002</c:v>
                </c:pt>
                <c:pt idx="97">
                  <c:v>49.295000000000002</c:v>
                </c:pt>
                <c:pt idx="98">
                  <c:v>49.798000000000002</c:v>
                </c:pt>
                <c:pt idx="99">
                  <c:v>50.301000000000002</c:v>
                </c:pt>
                <c:pt idx="100">
                  <c:v>50.804000000000002</c:v>
                </c:pt>
                <c:pt idx="101">
                  <c:v>51.307000000000002</c:v>
                </c:pt>
                <c:pt idx="102">
                  <c:v>51.81</c:v>
                </c:pt>
                <c:pt idx="103">
                  <c:v>52.313000000000002</c:v>
                </c:pt>
                <c:pt idx="104">
                  <c:v>52.816000000000003</c:v>
                </c:pt>
                <c:pt idx="105">
                  <c:v>53.319000000000003</c:v>
                </c:pt>
                <c:pt idx="106">
                  <c:v>53.822000000000003</c:v>
                </c:pt>
                <c:pt idx="107">
                  <c:v>54.325000000000003</c:v>
                </c:pt>
                <c:pt idx="108">
                  <c:v>54.828000000000003</c:v>
                </c:pt>
                <c:pt idx="109">
                  <c:v>55.331000000000003</c:v>
                </c:pt>
                <c:pt idx="110">
                  <c:v>55.834000000000003</c:v>
                </c:pt>
                <c:pt idx="111">
                  <c:v>56.337000000000003</c:v>
                </c:pt>
                <c:pt idx="112">
                  <c:v>56.84</c:v>
                </c:pt>
                <c:pt idx="113">
                  <c:v>57.343000000000004</c:v>
                </c:pt>
                <c:pt idx="114">
                  <c:v>57.845999999999997</c:v>
                </c:pt>
                <c:pt idx="115">
                  <c:v>58.348999999999997</c:v>
                </c:pt>
                <c:pt idx="116">
                  <c:v>58.851999999999997</c:v>
                </c:pt>
                <c:pt idx="117">
                  <c:v>59.354999999999997</c:v>
                </c:pt>
                <c:pt idx="118">
                  <c:v>59.857999999999997</c:v>
                </c:pt>
                <c:pt idx="119">
                  <c:v>60.360999999999997</c:v>
                </c:pt>
                <c:pt idx="120">
                  <c:v>60.863999999999997</c:v>
                </c:pt>
                <c:pt idx="121">
                  <c:v>61.366999999999997</c:v>
                </c:pt>
                <c:pt idx="122">
                  <c:v>61.87</c:v>
                </c:pt>
              </c:numCache>
            </c:numRef>
          </c:cat>
          <c:val>
            <c:numRef>
              <c:f>Charts!$B$2:$B$124</c:f>
              <c:numCache>
                <c:formatCode>0.000</c:formatCode>
                <c:ptCount val="123"/>
                <c:pt idx="0">
                  <c:v>9.5220000000000002</c:v>
                </c:pt>
                <c:pt idx="1">
                  <c:v>9.4619999999999997</c:v>
                </c:pt>
                <c:pt idx="2">
                  <c:v>9.4930000000000003</c:v>
                </c:pt>
                <c:pt idx="3">
                  <c:v>9.4860000000000007</c:v>
                </c:pt>
                <c:pt idx="4">
                  <c:v>9.484</c:v>
                </c:pt>
                <c:pt idx="5">
                  <c:v>9.4740000000000002</c:v>
                </c:pt>
                <c:pt idx="6">
                  <c:v>9.4789999999999992</c:v>
                </c:pt>
                <c:pt idx="7">
                  <c:v>9.4689999999999994</c:v>
                </c:pt>
                <c:pt idx="8">
                  <c:v>9.4770000000000003</c:v>
                </c:pt>
                <c:pt idx="9">
                  <c:v>9.4830000000000005</c:v>
                </c:pt>
                <c:pt idx="10">
                  <c:v>9.4740000000000002</c:v>
                </c:pt>
                <c:pt idx="11">
                  <c:v>9.4600000000000009</c:v>
                </c:pt>
                <c:pt idx="12">
                  <c:v>9.5380000000000003</c:v>
                </c:pt>
                <c:pt idx="13">
                  <c:v>9.4710000000000001</c:v>
                </c:pt>
                <c:pt idx="14">
                  <c:v>9.4740000000000002</c:v>
                </c:pt>
                <c:pt idx="15">
                  <c:v>9.4760000000000009</c:v>
                </c:pt>
                <c:pt idx="16">
                  <c:v>9.4640000000000004</c:v>
                </c:pt>
                <c:pt idx="17">
                  <c:v>9.3859999999999992</c:v>
                </c:pt>
                <c:pt idx="18">
                  <c:v>9.3859999999999992</c:v>
                </c:pt>
                <c:pt idx="19">
                  <c:v>9.4550000000000001</c:v>
                </c:pt>
                <c:pt idx="20">
                  <c:v>9.4719999999999995</c:v>
                </c:pt>
                <c:pt idx="21">
                  <c:v>9.4499999999999993</c:v>
                </c:pt>
                <c:pt idx="22">
                  <c:v>9.4719999999999995</c:v>
                </c:pt>
                <c:pt idx="23">
                  <c:v>9.4600000000000009</c:v>
                </c:pt>
                <c:pt idx="24">
                  <c:v>9.4510000000000005</c:v>
                </c:pt>
                <c:pt idx="25">
                  <c:v>9.4369999999999994</c:v>
                </c:pt>
                <c:pt idx="26">
                  <c:v>9.48</c:v>
                </c:pt>
                <c:pt idx="27">
                  <c:v>9.4489999999999998</c:v>
                </c:pt>
                <c:pt idx="28">
                  <c:v>9.4629999999999992</c:v>
                </c:pt>
                <c:pt idx="29">
                  <c:v>9.6189999999999998</c:v>
                </c:pt>
                <c:pt idx="30">
                  <c:v>9.4120000000000008</c:v>
                </c:pt>
                <c:pt idx="31">
                  <c:v>8.48</c:v>
                </c:pt>
                <c:pt idx="32">
                  <c:v>11.805999999999999</c:v>
                </c:pt>
                <c:pt idx="33">
                  <c:v>7.774</c:v>
                </c:pt>
                <c:pt idx="34">
                  <c:v>13.157999999999999</c:v>
                </c:pt>
                <c:pt idx="35">
                  <c:v>10.901999999999999</c:v>
                </c:pt>
                <c:pt idx="36">
                  <c:v>9.6319999999999997</c:v>
                </c:pt>
                <c:pt idx="37">
                  <c:v>10.692</c:v>
                </c:pt>
                <c:pt idx="38">
                  <c:v>10.458</c:v>
                </c:pt>
                <c:pt idx="39">
                  <c:v>11.206</c:v>
                </c:pt>
                <c:pt idx="40">
                  <c:v>9.8940000000000001</c:v>
                </c:pt>
                <c:pt idx="41">
                  <c:v>8.0220000000000002</c:v>
                </c:pt>
                <c:pt idx="42">
                  <c:v>11.57</c:v>
                </c:pt>
                <c:pt idx="43">
                  <c:v>9.9890000000000008</c:v>
                </c:pt>
                <c:pt idx="44">
                  <c:v>10.436</c:v>
                </c:pt>
                <c:pt idx="45">
                  <c:v>9.1489999999999991</c:v>
                </c:pt>
                <c:pt idx="46">
                  <c:v>10.018000000000001</c:v>
                </c:pt>
                <c:pt idx="47">
                  <c:v>10.875</c:v>
                </c:pt>
                <c:pt idx="48">
                  <c:v>10.15</c:v>
                </c:pt>
                <c:pt idx="49">
                  <c:v>9.3840000000000003</c:v>
                </c:pt>
                <c:pt idx="50">
                  <c:v>10.634</c:v>
                </c:pt>
                <c:pt idx="51">
                  <c:v>10.154</c:v>
                </c:pt>
                <c:pt idx="52">
                  <c:v>9.4350000000000005</c:v>
                </c:pt>
                <c:pt idx="53">
                  <c:v>13.706</c:v>
                </c:pt>
                <c:pt idx="54">
                  <c:v>12.066000000000001</c:v>
                </c:pt>
                <c:pt idx="55">
                  <c:v>12.308</c:v>
                </c:pt>
                <c:pt idx="56">
                  <c:v>11.433</c:v>
                </c:pt>
                <c:pt idx="57">
                  <c:v>10.532999999999999</c:v>
                </c:pt>
                <c:pt idx="58">
                  <c:v>9.8759999999999994</c:v>
                </c:pt>
                <c:pt idx="59">
                  <c:v>8.875</c:v>
                </c:pt>
                <c:pt idx="60">
                  <c:v>8.6709999999999994</c:v>
                </c:pt>
                <c:pt idx="61">
                  <c:v>13.685</c:v>
                </c:pt>
                <c:pt idx="62">
                  <c:v>15.619</c:v>
                </c:pt>
                <c:pt idx="63">
                  <c:v>7.5259999999999998</c:v>
                </c:pt>
                <c:pt idx="64">
                  <c:v>5.726</c:v>
                </c:pt>
                <c:pt idx="65">
                  <c:v>7.2469999999999999</c:v>
                </c:pt>
                <c:pt idx="66">
                  <c:v>8.5779999999999994</c:v>
                </c:pt>
                <c:pt idx="67">
                  <c:v>8.2159999999999993</c:v>
                </c:pt>
                <c:pt idx="68">
                  <c:v>13.198</c:v>
                </c:pt>
                <c:pt idx="69">
                  <c:v>14.276999999999999</c:v>
                </c:pt>
                <c:pt idx="70">
                  <c:v>7.1840000000000002</c:v>
                </c:pt>
                <c:pt idx="71">
                  <c:v>5.093</c:v>
                </c:pt>
                <c:pt idx="72">
                  <c:v>8.5920000000000005</c:v>
                </c:pt>
                <c:pt idx="73">
                  <c:v>14.319000000000001</c:v>
                </c:pt>
                <c:pt idx="74">
                  <c:v>9.01</c:v>
                </c:pt>
                <c:pt idx="75">
                  <c:v>5.6920000000000002</c:v>
                </c:pt>
                <c:pt idx="76">
                  <c:v>8.8450000000000006</c:v>
                </c:pt>
                <c:pt idx="77">
                  <c:v>11.622</c:v>
                </c:pt>
                <c:pt idx="78">
                  <c:v>12.975</c:v>
                </c:pt>
                <c:pt idx="79">
                  <c:v>13.157999999999999</c:v>
                </c:pt>
                <c:pt idx="80">
                  <c:v>10.811</c:v>
                </c:pt>
                <c:pt idx="81">
                  <c:v>7.069</c:v>
                </c:pt>
                <c:pt idx="82">
                  <c:v>6.9130000000000003</c:v>
                </c:pt>
                <c:pt idx="83">
                  <c:v>5.6509999999999998</c:v>
                </c:pt>
                <c:pt idx="84">
                  <c:v>9.3049999999999997</c:v>
                </c:pt>
                <c:pt idx="85">
                  <c:v>11.007999999999999</c:v>
                </c:pt>
                <c:pt idx="86">
                  <c:v>9.4580000000000002</c:v>
                </c:pt>
                <c:pt idx="87">
                  <c:v>5.9080000000000004</c:v>
                </c:pt>
                <c:pt idx="88">
                  <c:v>6.3540000000000001</c:v>
                </c:pt>
                <c:pt idx="89">
                  <c:v>6.1959999999999997</c:v>
                </c:pt>
                <c:pt idx="90">
                  <c:v>5.6319999999999997</c:v>
                </c:pt>
                <c:pt idx="91">
                  <c:v>7.6159999999999997</c:v>
                </c:pt>
                <c:pt idx="92">
                  <c:v>8.8480000000000008</c:v>
                </c:pt>
                <c:pt idx="93">
                  <c:v>9.4949999999999992</c:v>
                </c:pt>
                <c:pt idx="94">
                  <c:v>9.4629999999999992</c:v>
                </c:pt>
                <c:pt idx="95">
                  <c:v>9.5</c:v>
                </c:pt>
                <c:pt idx="96">
                  <c:v>9.4849999999999994</c:v>
                </c:pt>
                <c:pt idx="97">
                  <c:v>9.4730000000000008</c:v>
                </c:pt>
                <c:pt idx="98">
                  <c:v>9.4849999999999994</c:v>
                </c:pt>
                <c:pt idx="99">
                  <c:v>9.4710000000000001</c:v>
                </c:pt>
                <c:pt idx="100">
                  <c:v>9.4990000000000006</c:v>
                </c:pt>
                <c:pt idx="101">
                  <c:v>9.48</c:v>
                </c:pt>
                <c:pt idx="102">
                  <c:v>9.4420000000000002</c:v>
                </c:pt>
                <c:pt idx="103">
                  <c:v>9.4540000000000006</c:v>
                </c:pt>
                <c:pt idx="104">
                  <c:v>9.468</c:v>
                </c:pt>
                <c:pt idx="105">
                  <c:v>9.4749999999999996</c:v>
                </c:pt>
                <c:pt idx="106">
                  <c:v>9.468</c:v>
                </c:pt>
                <c:pt idx="107">
                  <c:v>9.4809999999999999</c:v>
                </c:pt>
                <c:pt idx="108">
                  <c:v>9.5139999999999993</c:v>
                </c:pt>
                <c:pt idx="109">
                  <c:v>9.4540000000000006</c:v>
                </c:pt>
                <c:pt idx="110">
                  <c:v>9.4540000000000006</c:v>
                </c:pt>
                <c:pt idx="111">
                  <c:v>9.4640000000000004</c:v>
                </c:pt>
                <c:pt idx="112">
                  <c:v>9.4589999999999996</c:v>
                </c:pt>
                <c:pt idx="113">
                  <c:v>9.4730000000000008</c:v>
                </c:pt>
                <c:pt idx="114">
                  <c:v>9.4329999999999998</c:v>
                </c:pt>
                <c:pt idx="115">
                  <c:v>9.4760000000000009</c:v>
                </c:pt>
                <c:pt idx="116">
                  <c:v>9.4689999999999994</c:v>
                </c:pt>
                <c:pt idx="117">
                  <c:v>9.4730000000000008</c:v>
                </c:pt>
                <c:pt idx="118">
                  <c:v>9.5020000000000007</c:v>
                </c:pt>
                <c:pt idx="119">
                  <c:v>9.4610000000000003</c:v>
                </c:pt>
                <c:pt idx="120">
                  <c:v>9.4920000000000009</c:v>
                </c:pt>
                <c:pt idx="121">
                  <c:v>9.4540000000000006</c:v>
                </c:pt>
                <c:pt idx="122">
                  <c:v>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7-4EF5-9EC2-A011A5D83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sz="825" b="1"/>
                  <a:t>Time / s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sz="825" b="1"/>
                  <a:t>Acceleration Magnitude / m s^-2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INA240 OUT Voltage vs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0.000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C17-4E3B-8C86-38236FCF4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sz="825" b="1"/>
                  <a:t>Time / 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sz="825" b="1"/>
                  <a:t>INA240 OUT Voltage / V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676554</xdr:colOff>
      <xdr:row>1</xdr:row>
      <xdr:rowOff>159871</xdr:rowOff>
    </xdr:from>
    <xdr:to>
      <xdr:col>19</xdr:col>
      <xdr:colOff>444032</xdr:colOff>
      <xdr:row>17</xdr:row>
      <xdr:rowOff>138954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A56FE44-2773-F438-9D58-339E08277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116261</xdr:colOff>
      <xdr:row>19</xdr:row>
      <xdr:rowOff>5789</xdr:rowOff>
    </xdr:from>
    <xdr:to>
      <xdr:col>19</xdr:col>
      <xdr:colOff>570099</xdr:colOff>
      <xdr:row>34</xdr:row>
      <xdr:rowOff>157628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1E74E08-A0C3-1DDE-65CE-96E7A7133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tegratedTelemetryTable" displayName="IntegratedTelemetryTable" ref="A1:L124" dataCellStyle="常规">
  <tableColumns count="12">
    <tableColumn id="1" xr3:uid="{00000000-0010-0000-0000-000001000000}" name="time_ms" dataCellStyle="常规"/>
    <tableColumn id="2" xr3:uid="{00000000-0010-0000-0000-000002000000}" name="accel_x" dataCellStyle="常规"/>
    <tableColumn id="3" xr3:uid="{00000000-0010-0000-0000-000003000000}" name="accel_y" dataCellStyle="常规"/>
    <tableColumn id="4" xr3:uid="{00000000-0010-0000-0000-000004000000}" name="accel_z" dataCellStyle="常规"/>
    <tableColumn id="5" xr3:uid="{00000000-0010-0000-0000-000005000000}" name="gyro_x" dataCellStyle="常规"/>
    <tableColumn id="6" xr3:uid="{00000000-0010-0000-0000-000006000000}" name="gyro_y" dataCellStyle="常规"/>
    <tableColumn id="7" xr3:uid="{00000000-0010-0000-0000-000007000000}" name="gyro_z" dataCellStyle="常规"/>
    <tableColumn id="8" xr3:uid="{00000000-0010-0000-0000-000008000000}" name="accel_magnitude" dataCellStyle="常规"/>
    <tableColumn id="9" xr3:uid="{00000000-0010-0000-0000-000009000000}" name="ina240_adc" dataCellStyle="常规"/>
    <tableColumn id="10" xr3:uid="{00000000-0010-0000-0000-00000A000000}" name="ina240_out_voltage" dataCellStyle="常规"/>
    <tableColumn id="11" xr3:uid="{00000000-0010-0000-0000-00000B000000}" name="time_s" dataCellStyle="常规"/>
    <tableColumn id="12" xr3:uid="{00000000-0010-0000-0000-00000C000000}" name="phase" dataCellStyle="常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topLeftCell="A2" zoomScale="96" zoomScaleNormal="115" workbookViewId="0">
      <selection activeCell="H19" sqref="H19"/>
    </sheetView>
  </sheetViews>
  <sheetFormatPr defaultRowHeight="13.5"/>
  <cols>
    <col min="1" max="1" width="12" customWidth="1"/>
    <col min="2" max="2" width="15.25" customWidth="1"/>
    <col min="3" max="3" width="14.375" customWidth="1"/>
    <col min="4" max="4" width="16.25" customWidth="1"/>
    <col min="5" max="5" width="13.5" customWidth="1"/>
    <col min="6" max="6" width="10.25" customWidth="1"/>
    <col min="7" max="7" width="11.75" customWidth="1"/>
    <col min="8" max="8" width="18.125" customWidth="1"/>
    <col min="9" max="9" width="14.0625" customWidth="1"/>
    <col min="10" max="10" width="25.9375" customWidth="1"/>
    <col min="11" max="11" width="10" customWidth="1"/>
    <col min="12" max="12" width="18" customWidth="1"/>
  </cols>
  <sheetData>
    <row r="1" spans="1:12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1320</v>
      </c>
      <c r="B2">
        <v>0.24199999999999999</v>
      </c>
      <c r="C2">
        <v>0.27300000000000002</v>
      </c>
      <c r="D2">
        <v>9.5150000000000006</v>
      </c>
      <c r="E2">
        <v>-5.0000000000000001E-3</v>
      </c>
      <c r="F2">
        <v>-8.5000000000000006E-2</v>
      </c>
      <c r="G2">
        <v>-3.0000000000000001E-3</v>
      </c>
      <c r="H2">
        <v>9.5220000000000002</v>
      </c>
      <c r="I2">
        <v>1881</v>
      </c>
      <c r="J2">
        <v>1.516</v>
      </c>
      <c r="K2">
        <f t="shared" ref="K2:K33" si="0">(A2-$A$2)/1000</f>
        <v>0</v>
      </c>
      <c r="L2" t="str">
        <f t="shared" ref="L2:L33" si="1">IF(K2&lt;15,"0-15s Stationary",IF(K2&lt;30,"15-30s Movement",IF(K2&lt;45,"30-45s Movement","45-60s Stationary")))</f>
        <v>0-15s Stationary</v>
      </c>
    </row>
    <row r="3" spans="1:12">
      <c r="A3">
        <v>1823</v>
      </c>
      <c r="B3">
        <v>0.182</v>
      </c>
      <c r="C3">
        <v>0.23</v>
      </c>
      <c r="D3">
        <v>9.4570000000000007</v>
      </c>
      <c r="E3">
        <v>-7.0000000000000001E-3</v>
      </c>
      <c r="F3">
        <v>-8.5999999999999993E-2</v>
      </c>
      <c r="G3">
        <v>-7.0000000000000001E-3</v>
      </c>
      <c r="H3">
        <v>9.4619999999999997</v>
      </c>
      <c r="I3">
        <v>1879</v>
      </c>
      <c r="J3">
        <v>1.514</v>
      </c>
      <c r="K3">
        <f t="shared" si="0"/>
        <v>0.503</v>
      </c>
      <c r="L3" t="str">
        <f t="shared" si="1"/>
        <v>0-15s Stationary</v>
      </c>
    </row>
    <row r="4" spans="1:12">
      <c r="A4">
        <v>2326</v>
      </c>
      <c r="B4">
        <v>0.19600000000000001</v>
      </c>
      <c r="C4">
        <v>0.22500000000000001</v>
      </c>
      <c r="D4">
        <v>9.4879999999999995</v>
      </c>
      <c r="E4">
        <v>-7.0000000000000001E-3</v>
      </c>
      <c r="F4">
        <v>-8.5000000000000006E-2</v>
      </c>
      <c r="G4">
        <v>-6.0000000000000001E-3</v>
      </c>
      <c r="H4">
        <v>9.4930000000000003</v>
      </c>
      <c r="I4">
        <v>1891</v>
      </c>
      <c r="J4">
        <v>1.524</v>
      </c>
      <c r="K4">
        <f t="shared" si="0"/>
        <v>1.006</v>
      </c>
      <c r="L4" t="str">
        <f t="shared" si="1"/>
        <v>0-15s Stationary</v>
      </c>
    </row>
    <row r="5" spans="1:12">
      <c r="A5">
        <v>2829</v>
      </c>
      <c r="B5">
        <v>0.184</v>
      </c>
      <c r="C5">
        <v>0.23899999999999999</v>
      </c>
      <c r="D5">
        <v>9.4809999999999999</v>
      </c>
      <c r="E5">
        <v>-7.0000000000000001E-3</v>
      </c>
      <c r="F5">
        <v>-8.5000000000000006E-2</v>
      </c>
      <c r="G5">
        <v>-6.0000000000000001E-3</v>
      </c>
      <c r="H5">
        <v>9.4860000000000007</v>
      </c>
      <c r="I5">
        <v>1888</v>
      </c>
      <c r="J5">
        <v>1.5209999999999999</v>
      </c>
      <c r="K5">
        <f t="shared" si="0"/>
        <v>1.5089999999999999</v>
      </c>
      <c r="L5" t="str">
        <f t="shared" si="1"/>
        <v>0-15s Stationary</v>
      </c>
    </row>
    <row r="6" spans="1:12">
      <c r="A6">
        <v>3332</v>
      </c>
      <c r="B6">
        <v>0.19900000000000001</v>
      </c>
      <c r="C6">
        <v>0.23</v>
      </c>
      <c r="D6">
        <v>9.4789999999999992</v>
      </c>
      <c r="E6">
        <v>-7.0000000000000001E-3</v>
      </c>
      <c r="F6">
        <v>-8.5999999999999993E-2</v>
      </c>
      <c r="G6">
        <v>-7.0000000000000001E-3</v>
      </c>
      <c r="H6">
        <v>9.484</v>
      </c>
      <c r="I6">
        <v>1887</v>
      </c>
      <c r="J6">
        <v>1.5209999999999999</v>
      </c>
      <c r="K6">
        <f t="shared" si="0"/>
        <v>2.012</v>
      </c>
      <c r="L6" t="str">
        <f t="shared" si="1"/>
        <v>0-15s Stationary</v>
      </c>
    </row>
    <row r="7" spans="1:12">
      <c r="A7">
        <v>3835</v>
      </c>
      <c r="B7">
        <v>0.21099999999999999</v>
      </c>
      <c r="C7">
        <v>0.23</v>
      </c>
      <c r="D7">
        <v>9.4689999999999994</v>
      </c>
      <c r="E7">
        <v>-6.0000000000000001E-3</v>
      </c>
      <c r="F7">
        <v>-8.5000000000000006E-2</v>
      </c>
      <c r="G7">
        <v>-6.0000000000000001E-3</v>
      </c>
      <c r="H7">
        <v>9.4740000000000002</v>
      </c>
      <c r="I7">
        <v>1881</v>
      </c>
      <c r="J7">
        <v>1.516</v>
      </c>
      <c r="K7">
        <f t="shared" si="0"/>
        <v>2.5150000000000001</v>
      </c>
      <c r="L7" t="str">
        <f t="shared" si="1"/>
        <v>0-15s Stationary</v>
      </c>
    </row>
    <row r="8" spans="1:12">
      <c r="A8">
        <v>4338</v>
      </c>
      <c r="B8">
        <v>0.20399999999999999</v>
      </c>
      <c r="C8">
        <v>0.22</v>
      </c>
      <c r="D8">
        <v>9.4740000000000002</v>
      </c>
      <c r="E8">
        <v>-7.0000000000000001E-3</v>
      </c>
      <c r="F8">
        <v>-8.5000000000000006E-2</v>
      </c>
      <c r="G8">
        <v>-6.0000000000000001E-3</v>
      </c>
      <c r="H8">
        <v>9.4789999999999992</v>
      </c>
      <c r="I8">
        <v>1882</v>
      </c>
      <c r="J8">
        <v>1.5169999999999999</v>
      </c>
      <c r="K8">
        <f t="shared" si="0"/>
        <v>3.0179999999999998</v>
      </c>
      <c r="L8" t="str">
        <f t="shared" si="1"/>
        <v>0-15s Stationary</v>
      </c>
    </row>
    <row r="9" spans="1:12">
      <c r="A9">
        <v>4841</v>
      </c>
      <c r="B9">
        <v>0.20399999999999999</v>
      </c>
      <c r="C9">
        <v>0.23200000000000001</v>
      </c>
      <c r="D9">
        <v>9.4640000000000004</v>
      </c>
      <c r="E9">
        <v>-7.0000000000000001E-3</v>
      </c>
      <c r="F9">
        <v>-8.5999999999999993E-2</v>
      </c>
      <c r="G9">
        <v>-7.0000000000000001E-3</v>
      </c>
      <c r="H9">
        <v>9.4689999999999994</v>
      </c>
      <c r="I9">
        <v>1893</v>
      </c>
      <c r="J9">
        <v>1.5249999999999999</v>
      </c>
      <c r="K9">
        <f t="shared" si="0"/>
        <v>3.5209999999999999</v>
      </c>
      <c r="L9" t="str">
        <f t="shared" si="1"/>
        <v>0-15s Stationary</v>
      </c>
    </row>
    <row r="10" spans="1:12">
      <c r="A10">
        <v>5344</v>
      </c>
      <c r="B10">
        <v>0.19600000000000001</v>
      </c>
      <c r="C10">
        <v>0.23899999999999999</v>
      </c>
      <c r="D10">
        <v>9.4710000000000001</v>
      </c>
      <c r="E10">
        <v>-6.0000000000000001E-3</v>
      </c>
      <c r="F10">
        <v>-8.5000000000000006E-2</v>
      </c>
      <c r="G10">
        <v>-6.0000000000000001E-3</v>
      </c>
      <c r="H10">
        <v>9.4770000000000003</v>
      </c>
      <c r="I10">
        <v>1881</v>
      </c>
      <c r="J10">
        <v>1.516</v>
      </c>
      <c r="K10">
        <f t="shared" si="0"/>
        <v>4.024</v>
      </c>
      <c r="L10" t="str">
        <f t="shared" si="1"/>
        <v>0-15s Stationary</v>
      </c>
    </row>
    <row r="11" spans="1:12">
      <c r="A11">
        <v>5847</v>
      </c>
      <c r="B11">
        <v>0.19400000000000001</v>
      </c>
      <c r="C11">
        <v>0.223</v>
      </c>
      <c r="D11">
        <v>9.4789999999999992</v>
      </c>
      <c r="E11">
        <v>-7.0000000000000001E-3</v>
      </c>
      <c r="F11">
        <v>-8.5999999999999993E-2</v>
      </c>
      <c r="G11">
        <v>-6.0000000000000001E-3</v>
      </c>
      <c r="H11">
        <v>9.4830000000000005</v>
      </c>
      <c r="I11">
        <v>1885</v>
      </c>
      <c r="J11">
        <v>1.5189999999999999</v>
      </c>
      <c r="K11">
        <f t="shared" si="0"/>
        <v>4.5270000000000001</v>
      </c>
      <c r="L11" t="str">
        <f t="shared" si="1"/>
        <v>0-15s Stationary</v>
      </c>
    </row>
    <row r="12" spans="1:12">
      <c r="A12">
        <v>6350</v>
      </c>
      <c r="B12">
        <v>0.17699999999999999</v>
      </c>
      <c r="C12">
        <v>0.23499999999999999</v>
      </c>
      <c r="D12">
        <v>9.4689999999999994</v>
      </c>
      <c r="E12">
        <v>-7.0000000000000001E-3</v>
      </c>
      <c r="F12">
        <v>-8.5000000000000006E-2</v>
      </c>
      <c r="G12">
        <v>-6.0000000000000001E-3</v>
      </c>
      <c r="H12">
        <v>9.4740000000000002</v>
      </c>
      <c r="I12">
        <v>1883</v>
      </c>
      <c r="J12">
        <v>1.5169999999999999</v>
      </c>
      <c r="K12">
        <f t="shared" si="0"/>
        <v>5.03</v>
      </c>
      <c r="L12" t="str">
        <f t="shared" si="1"/>
        <v>0-15s Stationary</v>
      </c>
    </row>
    <row r="13" spans="1:12">
      <c r="A13">
        <v>6853</v>
      </c>
      <c r="B13">
        <v>0.19600000000000001</v>
      </c>
      <c r="C13">
        <v>0.23899999999999999</v>
      </c>
      <c r="D13">
        <v>9.4550000000000001</v>
      </c>
      <c r="E13">
        <v>-7.0000000000000001E-3</v>
      </c>
      <c r="F13">
        <v>-8.2000000000000003E-2</v>
      </c>
      <c r="G13">
        <v>-5.0000000000000001E-3</v>
      </c>
      <c r="H13">
        <v>9.4600000000000009</v>
      </c>
      <c r="I13">
        <v>1882</v>
      </c>
      <c r="J13">
        <v>1.5169999999999999</v>
      </c>
      <c r="K13">
        <f t="shared" si="0"/>
        <v>5.5330000000000004</v>
      </c>
      <c r="L13" t="str">
        <f t="shared" si="1"/>
        <v>0-15s Stationary</v>
      </c>
    </row>
    <row r="14" spans="1:12">
      <c r="A14">
        <v>7356</v>
      </c>
      <c r="B14">
        <v>-0.27800000000000002</v>
      </c>
      <c r="C14">
        <v>0.24399999999999999</v>
      </c>
      <c r="D14">
        <v>9.5310000000000006</v>
      </c>
      <c r="E14">
        <v>2.3E-2</v>
      </c>
      <c r="F14">
        <v>-0.156</v>
      </c>
      <c r="G14">
        <v>-0.28000000000000003</v>
      </c>
      <c r="H14">
        <v>9.5380000000000003</v>
      </c>
      <c r="I14">
        <v>1889</v>
      </c>
      <c r="J14">
        <v>1.522</v>
      </c>
      <c r="K14">
        <f t="shared" si="0"/>
        <v>6.0359999999999996</v>
      </c>
      <c r="L14" t="str">
        <f t="shared" si="1"/>
        <v>0-15s Stationary</v>
      </c>
    </row>
    <row r="15" spans="1:12">
      <c r="A15">
        <v>7859</v>
      </c>
      <c r="B15">
        <v>0.251</v>
      </c>
      <c r="C15">
        <v>0.23699999999999999</v>
      </c>
      <c r="D15">
        <v>9.4640000000000004</v>
      </c>
      <c r="E15">
        <v>-4.0000000000000001E-3</v>
      </c>
      <c r="F15">
        <v>-8.5000000000000006E-2</v>
      </c>
      <c r="G15">
        <v>-6.0000000000000001E-3</v>
      </c>
      <c r="H15">
        <v>9.4710000000000001</v>
      </c>
      <c r="I15">
        <v>1887</v>
      </c>
      <c r="J15">
        <v>1.5209999999999999</v>
      </c>
      <c r="K15">
        <f t="shared" si="0"/>
        <v>6.5389999999999997</v>
      </c>
      <c r="L15" t="str">
        <f t="shared" si="1"/>
        <v>0-15s Stationary</v>
      </c>
    </row>
    <row r="16" spans="1:12">
      <c r="A16">
        <v>8362</v>
      </c>
      <c r="B16">
        <v>0.251</v>
      </c>
      <c r="C16">
        <v>0.26300000000000001</v>
      </c>
      <c r="D16">
        <v>9.4670000000000005</v>
      </c>
      <c r="E16">
        <v>-5.0000000000000001E-3</v>
      </c>
      <c r="F16">
        <v>-8.5999999999999993E-2</v>
      </c>
      <c r="G16">
        <v>-6.0000000000000001E-3</v>
      </c>
      <c r="H16">
        <v>9.4740000000000002</v>
      </c>
      <c r="I16">
        <v>1875</v>
      </c>
      <c r="J16">
        <v>1.5109999999999999</v>
      </c>
      <c r="K16">
        <f t="shared" si="0"/>
        <v>7.0419999999999998</v>
      </c>
      <c r="L16" t="str">
        <f t="shared" si="1"/>
        <v>0-15s Stationary</v>
      </c>
    </row>
    <row r="17" spans="1:12">
      <c r="A17">
        <v>8865</v>
      </c>
      <c r="B17">
        <v>0.23200000000000001</v>
      </c>
      <c r="C17">
        <v>0.27300000000000002</v>
      </c>
      <c r="D17">
        <v>9.4689999999999994</v>
      </c>
      <c r="E17">
        <v>-7.0000000000000001E-3</v>
      </c>
      <c r="F17">
        <v>-8.2000000000000003E-2</v>
      </c>
      <c r="G17">
        <v>-6.0000000000000001E-3</v>
      </c>
      <c r="H17">
        <v>9.4760000000000009</v>
      </c>
      <c r="I17">
        <v>1890</v>
      </c>
      <c r="J17">
        <v>1.5229999999999999</v>
      </c>
      <c r="K17">
        <f t="shared" si="0"/>
        <v>7.5449999999999999</v>
      </c>
      <c r="L17" t="str">
        <f t="shared" si="1"/>
        <v>0-15s Stationary</v>
      </c>
    </row>
    <row r="18" spans="1:12">
      <c r="A18">
        <v>9368</v>
      </c>
      <c r="B18">
        <v>0.249</v>
      </c>
      <c r="C18">
        <v>0.27300000000000002</v>
      </c>
      <c r="D18">
        <v>9.4570000000000007</v>
      </c>
      <c r="E18">
        <v>-8.9999999999999993E-3</v>
      </c>
      <c r="F18">
        <v>-8.3000000000000004E-2</v>
      </c>
      <c r="G18">
        <v>-4.0000000000000001E-3</v>
      </c>
      <c r="H18">
        <v>9.4640000000000004</v>
      </c>
      <c r="I18">
        <v>1878</v>
      </c>
      <c r="J18">
        <v>1.5129999999999999</v>
      </c>
      <c r="K18">
        <f t="shared" si="0"/>
        <v>8.048</v>
      </c>
      <c r="L18" t="str">
        <f t="shared" si="1"/>
        <v>0-15s Stationary</v>
      </c>
    </row>
    <row r="19" spans="1:12">
      <c r="A19">
        <v>9871</v>
      </c>
      <c r="B19">
        <v>-0.49299999999999999</v>
      </c>
      <c r="C19">
        <v>3.7999999999999999E-2</v>
      </c>
      <c r="D19">
        <v>9.3729999999999993</v>
      </c>
      <c r="E19">
        <v>-1.7000000000000001E-2</v>
      </c>
      <c r="F19">
        <v>-7.4999999999999997E-2</v>
      </c>
      <c r="G19">
        <v>-9.0999999999999998E-2</v>
      </c>
      <c r="H19">
        <v>9.3859999999999992</v>
      </c>
      <c r="I19">
        <v>1885</v>
      </c>
      <c r="J19">
        <v>1.5189999999999999</v>
      </c>
      <c r="K19">
        <f t="shared" si="0"/>
        <v>8.5510000000000002</v>
      </c>
      <c r="L19" t="str">
        <f t="shared" si="1"/>
        <v>0-15s Stationary</v>
      </c>
    </row>
    <row r="20" spans="1:12">
      <c r="A20">
        <v>10374</v>
      </c>
      <c r="B20">
        <v>0.24199999999999999</v>
      </c>
      <c r="C20">
        <v>-7.0000000000000001E-3</v>
      </c>
      <c r="D20">
        <v>9.3829999999999991</v>
      </c>
      <c r="E20">
        <v>-5.0000000000000001E-3</v>
      </c>
      <c r="F20">
        <v>-8.1000000000000003E-2</v>
      </c>
      <c r="G20">
        <v>-7.0000000000000001E-3</v>
      </c>
      <c r="H20">
        <v>9.3859999999999992</v>
      </c>
      <c r="I20">
        <v>1882</v>
      </c>
      <c r="J20">
        <v>1.5169999999999999</v>
      </c>
      <c r="K20">
        <f t="shared" si="0"/>
        <v>9.0540000000000003</v>
      </c>
      <c r="L20" t="str">
        <f t="shared" si="1"/>
        <v>0-15s Stationary</v>
      </c>
    </row>
    <row r="21" spans="1:12">
      <c r="A21">
        <v>10877</v>
      </c>
      <c r="B21">
        <v>0.21299999999999999</v>
      </c>
      <c r="C21">
        <v>-1.2E-2</v>
      </c>
      <c r="D21">
        <v>9.452</v>
      </c>
      <c r="E21">
        <v>-7.0000000000000001E-3</v>
      </c>
      <c r="F21">
        <v>-8.5000000000000006E-2</v>
      </c>
      <c r="G21">
        <v>-7.0000000000000001E-3</v>
      </c>
      <c r="H21">
        <v>9.4550000000000001</v>
      </c>
      <c r="I21">
        <v>1889</v>
      </c>
      <c r="J21">
        <v>1.522</v>
      </c>
      <c r="K21">
        <f t="shared" si="0"/>
        <v>9.5570000000000004</v>
      </c>
      <c r="L21" t="str">
        <f t="shared" si="1"/>
        <v>0-15s Stationary</v>
      </c>
    </row>
    <row r="22" spans="1:12">
      <c r="A22">
        <v>11380</v>
      </c>
      <c r="B22">
        <v>0.24199999999999999</v>
      </c>
      <c r="C22">
        <v>-1.2E-2</v>
      </c>
      <c r="D22">
        <v>9.4689999999999994</v>
      </c>
      <c r="E22">
        <v>-6.0000000000000001E-3</v>
      </c>
      <c r="F22">
        <v>-8.5000000000000006E-2</v>
      </c>
      <c r="G22">
        <v>-7.0000000000000001E-3</v>
      </c>
      <c r="H22">
        <v>9.4719999999999995</v>
      </c>
      <c r="I22">
        <v>1879</v>
      </c>
      <c r="J22">
        <v>1.514</v>
      </c>
      <c r="K22">
        <f t="shared" si="0"/>
        <v>10.06</v>
      </c>
      <c r="L22" t="str">
        <f t="shared" si="1"/>
        <v>0-15s Stationary</v>
      </c>
    </row>
    <row r="23" spans="1:12">
      <c r="A23">
        <v>11883</v>
      </c>
      <c r="B23">
        <v>0.22700000000000001</v>
      </c>
      <c r="C23">
        <v>-7.0000000000000001E-3</v>
      </c>
      <c r="D23">
        <v>9.4480000000000004</v>
      </c>
      <c r="E23">
        <v>-6.0000000000000001E-3</v>
      </c>
      <c r="F23">
        <v>-8.5999999999999993E-2</v>
      </c>
      <c r="G23">
        <v>-7.0000000000000001E-3</v>
      </c>
      <c r="H23">
        <v>9.4499999999999993</v>
      </c>
      <c r="I23">
        <v>1880</v>
      </c>
      <c r="J23">
        <v>1.5149999999999999</v>
      </c>
      <c r="K23">
        <f t="shared" si="0"/>
        <v>10.563000000000001</v>
      </c>
      <c r="L23" t="str">
        <f t="shared" si="1"/>
        <v>0-15s Stationary</v>
      </c>
    </row>
    <row r="24" spans="1:12">
      <c r="A24">
        <v>12386</v>
      </c>
      <c r="B24">
        <v>0.23200000000000001</v>
      </c>
      <c r="C24">
        <v>-1.4E-2</v>
      </c>
      <c r="D24">
        <v>9.4689999999999994</v>
      </c>
      <c r="E24">
        <v>-7.0000000000000001E-3</v>
      </c>
      <c r="F24">
        <v>-8.5999999999999993E-2</v>
      </c>
      <c r="G24">
        <v>-6.0000000000000001E-3</v>
      </c>
      <c r="H24">
        <v>9.4719999999999995</v>
      </c>
      <c r="I24">
        <v>1888</v>
      </c>
      <c r="J24">
        <v>1.5209999999999999</v>
      </c>
      <c r="K24">
        <f t="shared" si="0"/>
        <v>11.066000000000001</v>
      </c>
      <c r="L24" t="str">
        <f t="shared" si="1"/>
        <v>0-15s Stationary</v>
      </c>
    </row>
    <row r="25" spans="1:12">
      <c r="A25">
        <v>12889</v>
      </c>
      <c r="B25">
        <v>0.23499999999999999</v>
      </c>
      <c r="C25">
        <v>-1.4E-2</v>
      </c>
      <c r="D25">
        <v>9.4570000000000007</v>
      </c>
      <c r="E25">
        <v>-7.0000000000000001E-3</v>
      </c>
      <c r="F25">
        <v>-8.5999999999999993E-2</v>
      </c>
      <c r="G25">
        <v>-7.0000000000000001E-3</v>
      </c>
      <c r="H25">
        <v>9.4600000000000009</v>
      </c>
      <c r="I25">
        <v>1889</v>
      </c>
      <c r="J25">
        <v>1.522</v>
      </c>
      <c r="K25">
        <f t="shared" si="0"/>
        <v>11.569000000000001</v>
      </c>
      <c r="L25" t="str">
        <f t="shared" si="1"/>
        <v>0-15s Stationary</v>
      </c>
    </row>
    <row r="26" spans="1:12">
      <c r="A26">
        <v>13392</v>
      </c>
      <c r="B26">
        <v>0.23699999999999999</v>
      </c>
      <c r="C26">
        <v>-3.5999999999999997E-2</v>
      </c>
      <c r="D26">
        <v>9.4480000000000004</v>
      </c>
      <c r="E26">
        <v>-7.0000000000000001E-3</v>
      </c>
      <c r="F26">
        <v>-8.6999999999999994E-2</v>
      </c>
      <c r="G26">
        <v>-7.0000000000000001E-3</v>
      </c>
      <c r="H26">
        <v>9.4510000000000005</v>
      </c>
      <c r="I26">
        <v>1889</v>
      </c>
      <c r="J26">
        <v>1.522</v>
      </c>
      <c r="K26">
        <f t="shared" si="0"/>
        <v>12.071999999999999</v>
      </c>
      <c r="L26" t="str">
        <f t="shared" si="1"/>
        <v>0-15s Stationary</v>
      </c>
    </row>
    <row r="27" spans="1:12">
      <c r="A27">
        <v>13895</v>
      </c>
      <c r="B27">
        <v>0.25900000000000001</v>
      </c>
      <c r="C27">
        <v>-1.4E-2</v>
      </c>
      <c r="D27">
        <v>9.4329999999999998</v>
      </c>
      <c r="E27">
        <v>-7.0000000000000001E-3</v>
      </c>
      <c r="F27">
        <v>-8.5999999999999993E-2</v>
      </c>
      <c r="G27">
        <v>-7.0000000000000001E-3</v>
      </c>
      <c r="H27">
        <v>9.4369999999999994</v>
      </c>
      <c r="I27">
        <v>1881</v>
      </c>
      <c r="J27">
        <v>1.516</v>
      </c>
      <c r="K27">
        <f t="shared" si="0"/>
        <v>12.574999999999999</v>
      </c>
      <c r="L27" t="str">
        <f t="shared" si="1"/>
        <v>0-15s Stationary</v>
      </c>
    </row>
    <row r="28" spans="1:12">
      <c r="A28">
        <v>14398</v>
      </c>
      <c r="B28">
        <v>0.25600000000000001</v>
      </c>
      <c r="C28">
        <v>-4.2999999999999997E-2</v>
      </c>
      <c r="D28">
        <v>9.4760000000000009</v>
      </c>
      <c r="E28">
        <v>-8.0000000000000002E-3</v>
      </c>
      <c r="F28">
        <v>-8.5999999999999993E-2</v>
      </c>
      <c r="G28">
        <v>-7.0000000000000001E-3</v>
      </c>
      <c r="H28">
        <v>9.48</v>
      </c>
      <c r="I28">
        <v>1885</v>
      </c>
      <c r="J28">
        <v>1.5189999999999999</v>
      </c>
      <c r="K28">
        <f t="shared" si="0"/>
        <v>13.077999999999999</v>
      </c>
      <c r="L28" t="str">
        <f t="shared" si="1"/>
        <v>0-15s Stationary</v>
      </c>
    </row>
    <row r="29" spans="1:12">
      <c r="A29">
        <v>14901</v>
      </c>
      <c r="B29">
        <v>0.25600000000000001</v>
      </c>
      <c r="C29">
        <v>-2.1999999999999999E-2</v>
      </c>
      <c r="D29">
        <v>9.4450000000000003</v>
      </c>
      <c r="E29">
        <v>-7.0000000000000001E-3</v>
      </c>
      <c r="F29">
        <v>-8.5999999999999993E-2</v>
      </c>
      <c r="G29">
        <v>-5.0000000000000001E-3</v>
      </c>
      <c r="H29">
        <v>9.4489999999999998</v>
      </c>
      <c r="I29">
        <v>1888</v>
      </c>
      <c r="J29">
        <v>1.5209999999999999</v>
      </c>
      <c r="K29">
        <f t="shared" si="0"/>
        <v>13.581</v>
      </c>
      <c r="L29" t="str">
        <f t="shared" si="1"/>
        <v>0-15s Stationary</v>
      </c>
    </row>
    <row r="30" spans="1:12">
      <c r="A30">
        <v>15404</v>
      </c>
      <c r="B30">
        <v>0.25600000000000001</v>
      </c>
      <c r="C30">
        <v>-1.4E-2</v>
      </c>
      <c r="D30">
        <v>9.4589999999999996</v>
      </c>
      <c r="E30">
        <v>-6.0000000000000001E-3</v>
      </c>
      <c r="F30">
        <v>-8.5000000000000006E-2</v>
      </c>
      <c r="G30">
        <v>-7.0000000000000001E-3</v>
      </c>
      <c r="H30">
        <v>9.4629999999999992</v>
      </c>
      <c r="I30">
        <v>1875</v>
      </c>
      <c r="J30">
        <v>1.5109999999999999</v>
      </c>
      <c r="K30">
        <f t="shared" si="0"/>
        <v>14.084</v>
      </c>
      <c r="L30" t="str">
        <f t="shared" si="1"/>
        <v>0-15s Stationary</v>
      </c>
    </row>
    <row r="31" spans="1:12">
      <c r="A31">
        <v>15907</v>
      </c>
      <c r="B31">
        <v>1.034</v>
      </c>
      <c r="C31">
        <v>0.38300000000000001</v>
      </c>
      <c r="D31">
        <v>9.5549999999999997</v>
      </c>
      <c r="E31">
        <v>-2.3E-2</v>
      </c>
      <c r="F31">
        <v>-0.11</v>
      </c>
      <c r="G31">
        <v>-0.3</v>
      </c>
      <c r="H31">
        <v>9.6189999999999998</v>
      </c>
      <c r="I31">
        <v>1892</v>
      </c>
      <c r="J31">
        <v>1.5249999999999999</v>
      </c>
      <c r="K31">
        <f t="shared" si="0"/>
        <v>14.587</v>
      </c>
      <c r="L31" t="str">
        <f t="shared" si="1"/>
        <v>0-15s Stationary</v>
      </c>
    </row>
    <row r="32" spans="1:12">
      <c r="A32">
        <v>16410</v>
      </c>
      <c r="B32">
        <v>0.30399999999999999</v>
      </c>
      <c r="C32">
        <v>8.8999999999999996E-2</v>
      </c>
      <c r="D32">
        <v>9.407</v>
      </c>
      <c r="E32">
        <v>5.8999999999999997E-2</v>
      </c>
      <c r="F32">
        <v>-9.0999999999999998E-2</v>
      </c>
      <c r="G32">
        <v>-0.01</v>
      </c>
      <c r="H32">
        <v>9.4120000000000008</v>
      </c>
      <c r="I32">
        <v>1878</v>
      </c>
      <c r="J32">
        <v>1.5129999999999999</v>
      </c>
      <c r="K32">
        <f t="shared" si="0"/>
        <v>15.09</v>
      </c>
      <c r="L32" t="str">
        <f t="shared" si="1"/>
        <v>15-30s Movement</v>
      </c>
    </row>
    <row r="33" spans="1:12">
      <c r="A33">
        <v>16913</v>
      </c>
      <c r="B33">
        <v>0.68500000000000005</v>
      </c>
      <c r="C33">
        <v>-0.71099999999999997</v>
      </c>
      <c r="D33">
        <v>8.423</v>
      </c>
      <c r="E33">
        <v>-0.30499999999999999</v>
      </c>
      <c r="F33">
        <v>0.16400000000000001</v>
      </c>
      <c r="G33">
        <v>-0.154</v>
      </c>
      <c r="H33">
        <v>8.48</v>
      </c>
      <c r="I33">
        <v>1883</v>
      </c>
      <c r="J33">
        <v>1.5169999999999999</v>
      </c>
      <c r="K33">
        <f t="shared" si="0"/>
        <v>15.593</v>
      </c>
      <c r="L33" t="str">
        <f t="shared" si="1"/>
        <v>15-30s Movement</v>
      </c>
    </row>
    <row r="34" spans="1:12">
      <c r="A34">
        <v>17416</v>
      </c>
      <c r="B34">
        <v>2.617</v>
      </c>
      <c r="C34">
        <v>6.1150000000000002</v>
      </c>
      <c r="D34">
        <v>9.7539999999999996</v>
      </c>
      <c r="E34">
        <v>0.17699999999999999</v>
      </c>
      <c r="F34">
        <v>5.5E-2</v>
      </c>
      <c r="G34">
        <v>-0.161</v>
      </c>
      <c r="H34">
        <v>11.805999999999999</v>
      </c>
      <c r="I34">
        <v>1885</v>
      </c>
      <c r="J34">
        <v>1.5189999999999999</v>
      </c>
      <c r="K34">
        <f t="shared" ref="K34:K65" si="2">(A34-$A$2)/1000</f>
        <v>16.096</v>
      </c>
      <c r="L34" t="str">
        <f t="shared" ref="L34:L65" si="3">IF(K34&lt;15,"0-15s Stationary",IF(K34&lt;30,"15-30s Movement",IF(K34&lt;45,"30-45s Movement","45-60s Stationary")))</f>
        <v>15-30s Movement</v>
      </c>
    </row>
    <row r="35" spans="1:12">
      <c r="A35">
        <v>17919</v>
      </c>
      <c r="B35">
        <v>1.4319999999999999</v>
      </c>
      <c r="C35">
        <v>-1.1539999999999999</v>
      </c>
      <c r="D35">
        <v>7.5540000000000003</v>
      </c>
      <c r="E35">
        <v>0.31</v>
      </c>
      <c r="F35">
        <v>-0.33</v>
      </c>
      <c r="G35">
        <v>-0.70699999999999996</v>
      </c>
      <c r="H35">
        <v>7.774</v>
      </c>
      <c r="I35">
        <v>1891</v>
      </c>
      <c r="J35">
        <v>1.524</v>
      </c>
      <c r="K35">
        <f t="shared" si="2"/>
        <v>16.599</v>
      </c>
      <c r="L35" t="str">
        <f t="shared" si="3"/>
        <v>15-30s Movement</v>
      </c>
    </row>
    <row r="36" spans="1:12">
      <c r="A36">
        <v>18422</v>
      </c>
      <c r="B36">
        <v>0.29699999999999999</v>
      </c>
      <c r="C36">
        <v>-0.13200000000000001</v>
      </c>
      <c r="D36">
        <v>13.154</v>
      </c>
      <c r="E36">
        <v>-0.66200000000000003</v>
      </c>
      <c r="F36">
        <v>0.52900000000000003</v>
      </c>
      <c r="G36">
        <v>3.5999999999999997E-2</v>
      </c>
      <c r="H36">
        <v>13.157999999999999</v>
      </c>
      <c r="I36">
        <v>1898</v>
      </c>
      <c r="J36">
        <v>1.53</v>
      </c>
      <c r="K36">
        <f t="shared" si="2"/>
        <v>17.102</v>
      </c>
      <c r="L36" t="str">
        <f t="shared" si="3"/>
        <v>15-30s Movement</v>
      </c>
    </row>
    <row r="37" spans="1:12">
      <c r="A37">
        <v>18925</v>
      </c>
      <c r="B37">
        <v>2.5859999999999999</v>
      </c>
      <c r="C37">
        <v>5.298</v>
      </c>
      <c r="D37">
        <v>9.17</v>
      </c>
      <c r="E37">
        <v>-8.7999999999999995E-2</v>
      </c>
      <c r="F37">
        <v>-8.5999999999999993E-2</v>
      </c>
      <c r="G37">
        <v>0.29099999999999998</v>
      </c>
      <c r="H37">
        <v>10.901999999999999</v>
      </c>
      <c r="I37">
        <v>1875</v>
      </c>
      <c r="J37">
        <v>1.5109999999999999</v>
      </c>
      <c r="K37">
        <f t="shared" si="2"/>
        <v>17.605</v>
      </c>
      <c r="L37" t="str">
        <f t="shared" si="3"/>
        <v>15-30s Movement</v>
      </c>
    </row>
    <row r="38" spans="1:12">
      <c r="A38">
        <v>19428</v>
      </c>
      <c r="B38">
        <v>2.1070000000000002</v>
      </c>
      <c r="C38">
        <v>2.2269999999999999</v>
      </c>
      <c r="D38">
        <v>9.1310000000000002</v>
      </c>
      <c r="E38">
        <v>0.47399999999999998</v>
      </c>
      <c r="F38">
        <v>-9.9000000000000005E-2</v>
      </c>
      <c r="G38">
        <v>-0.72</v>
      </c>
      <c r="H38">
        <v>9.6319999999999997</v>
      </c>
      <c r="I38">
        <v>1887</v>
      </c>
      <c r="J38">
        <v>1.5209999999999999</v>
      </c>
      <c r="K38">
        <f t="shared" si="2"/>
        <v>18.108000000000001</v>
      </c>
      <c r="L38" t="str">
        <f t="shared" si="3"/>
        <v>15-30s Movement</v>
      </c>
    </row>
    <row r="39" spans="1:12">
      <c r="A39">
        <v>19931</v>
      </c>
      <c r="B39">
        <v>-0.38100000000000001</v>
      </c>
      <c r="C39">
        <v>-3.5790000000000002</v>
      </c>
      <c r="D39">
        <v>10.068</v>
      </c>
      <c r="E39">
        <v>0.20200000000000001</v>
      </c>
      <c r="F39">
        <v>-0.35699999999999998</v>
      </c>
      <c r="G39">
        <v>-0.27200000000000002</v>
      </c>
      <c r="H39">
        <v>10.692</v>
      </c>
      <c r="I39">
        <v>1887</v>
      </c>
      <c r="J39">
        <v>1.5209999999999999</v>
      </c>
      <c r="K39">
        <f t="shared" si="2"/>
        <v>18.611000000000001</v>
      </c>
      <c r="L39" t="str">
        <f t="shared" si="3"/>
        <v>15-30s Movement</v>
      </c>
    </row>
    <row r="40" spans="1:12">
      <c r="A40">
        <v>20434</v>
      </c>
      <c r="B40">
        <v>0.05</v>
      </c>
      <c r="C40">
        <v>-1.954</v>
      </c>
      <c r="D40">
        <v>10.273999999999999</v>
      </c>
      <c r="E40">
        <v>-0.432</v>
      </c>
      <c r="F40">
        <v>7.4999999999999997E-2</v>
      </c>
      <c r="G40">
        <v>0.379</v>
      </c>
      <c r="H40">
        <v>10.458</v>
      </c>
      <c r="I40">
        <v>1885</v>
      </c>
      <c r="J40">
        <v>1.5189999999999999</v>
      </c>
      <c r="K40">
        <f t="shared" si="2"/>
        <v>19.114000000000001</v>
      </c>
      <c r="L40" t="str">
        <f t="shared" si="3"/>
        <v>15-30s Movement</v>
      </c>
    </row>
    <row r="41" spans="1:12">
      <c r="A41">
        <v>20937</v>
      </c>
      <c r="B41">
        <v>2.9950000000000001</v>
      </c>
      <c r="C41">
        <v>5.7030000000000003</v>
      </c>
      <c r="D41">
        <v>9.17</v>
      </c>
      <c r="E41">
        <v>-8.6999999999999994E-2</v>
      </c>
      <c r="F41">
        <v>-1.0999999999999999E-2</v>
      </c>
      <c r="G41">
        <v>0.186</v>
      </c>
      <c r="H41">
        <v>11.206</v>
      </c>
      <c r="I41">
        <v>1887</v>
      </c>
      <c r="J41">
        <v>1.5209999999999999</v>
      </c>
      <c r="K41">
        <f t="shared" si="2"/>
        <v>19.617000000000001</v>
      </c>
      <c r="L41" t="str">
        <f t="shared" si="3"/>
        <v>15-30s Movement</v>
      </c>
    </row>
    <row r="42" spans="1:12">
      <c r="A42">
        <v>21440</v>
      </c>
      <c r="B42">
        <v>0.65100000000000002</v>
      </c>
      <c r="C42">
        <v>-2.3610000000000002</v>
      </c>
      <c r="D42">
        <v>9.5860000000000003</v>
      </c>
      <c r="E42">
        <v>0.48</v>
      </c>
      <c r="F42">
        <v>-0.42</v>
      </c>
      <c r="G42">
        <v>-0.40600000000000003</v>
      </c>
      <c r="H42">
        <v>9.8940000000000001</v>
      </c>
      <c r="I42">
        <v>1881</v>
      </c>
      <c r="J42">
        <v>1.516</v>
      </c>
      <c r="K42">
        <f t="shared" si="2"/>
        <v>20.12</v>
      </c>
      <c r="L42" t="str">
        <f t="shared" si="3"/>
        <v>15-30s Movement</v>
      </c>
    </row>
    <row r="43" spans="1:12">
      <c r="A43">
        <v>21943</v>
      </c>
      <c r="B43">
        <v>1.008</v>
      </c>
      <c r="C43">
        <v>0.48599999999999999</v>
      </c>
      <c r="D43">
        <v>7.944</v>
      </c>
      <c r="E43">
        <v>-0.52300000000000002</v>
      </c>
      <c r="F43">
        <v>0.17299999999999999</v>
      </c>
      <c r="G43">
        <v>0.42</v>
      </c>
      <c r="H43">
        <v>8.0220000000000002</v>
      </c>
      <c r="I43">
        <v>1885</v>
      </c>
      <c r="J43">
        <v>1.5189999999999999</v>
      </c>
      <c r="K43">
        <f t="shared" si="2"/>
        <v>20.623000000000001</v>
      </c>
      <c r="L43" t="str">
        <f t="shared" si="3"/>
        <v>15-30s Movement</v>
      </c>
    </row>
    <row r="44" spans="1:12">
      <c r="A44">
        <v>22446</v>
      </c>
      <c r="B44">
        <v>2.7919999999999998</v>
      </c>
      <c r="C44">
        <v>4.0869999999999997</v>
      </c>
      <c r="D44">
        <v>10.458</v>
      </c>
      <c r="E44">
        <v>0.44500000000000001</v>
      </c>
      <c r="F44">
        <v>-0.12</v>
      </c>
      <c r="G44">
        <v>-0.34499999999999997</v>
      </c>
      <c r="H44">
        <v>11.57</v>
      </c>
      <c r="I44">
        <v>1881</v>
      </c>
      <c r="J44">
        <v>1.516</v>
      </c>
      <c r="K44">
        <f t="shared" si="2"/>
        <v>21.126000000000001</v>
      </c>
      <c r="L44" t="str">
        <f t="shared" si="3"/>
        <v>15-30s Movement</v>
      </c>
    </row>
    <row r="45" spans="1:12">
      <c r="A45">
        <v>22949</v>
      </c>
      <c r="B45">
        <v>-0.13400000000000001</v>
      </c>
      <c r="C45">
        <v>-3.2130000000000001</v>
      </c>
      <c r="D45">
        <v>9.4570000000000007</v>
      </c>
      <c r="E45">
        <v>6.7000000000000004E-2</v>
      </c>
      <c r="F45">
        <v>-0.22900000000000001</v>
      </c>
      <c r="G45">
        <v>-0.26200000000000001</v>
      </c>
      <c r="H45">
        <v>9.9890000000000008</v>
      </c>
      <c r="I45">
        <v>1887</v>
      </c>
      <c r="J45">
        <v>1.5209999999999999</v>
      </c>
      <c r="K45">
        <f t="shared" si="2"/>
        <v>21.629000000000001</v>
      </c>
      <c r="L45" t="str">
        <f t="shared" si="3"/>
        <v>15-30s Movement</v>
      </c>
    </row>
    <row r="46" spans="1:12">
      <c r="A46">
        <v>23452</v>
      </c>
      <c r="B46">
        <v>-0.21099999999999999</v>
      </c>
      <c r="C46">
        <v>-2.919</v>
      </c>
      <c r="D46">
        <v>10.016999999999999</v>
      </c>
      <c r="E46">
        <v>-0.56899999999999995</v>
      </c>
      <c r="F46">
        <v>-0.14099999999999999</v>
      </c>
      <c r="G46">
        <v>0.20200000000000001</v>
      </c>
      <c r="H46">
        <v>10.436</v>
      </c>
      <c r="I46">
        <v>1885</v>
      </c>
      <c r="J46">
        <v>1.5189999999999999</v>
      </c>
      <c r="K46">
        <f t="shared" si="2"/>
        <v>22.132000000000001</v>
      </c>
      <c r="L46" t="str">
        <f t="shared" si="3"/>
        <v>15-30s Movement</v>
      </c>
    </row>
    <row r="47" spans="1:12">
      <c r="A47">
        <v>23955</v>
      </c>
      <c r="B47">
        <v>0.81200000000000006</v>
      </c>
      <c r="C47">
        <v>0.23</v>
      </c>
      <c r="D47">
        <v>9.11</v>
      </c>
      <c r="E47">
        <v>-0.48799999999999999</v>
      </c>
      <c r="F47">
        <v>0.20399999999999999</v>
      </c>
      <c r="G47">
        <v>0.55100000000000005</v>
      </c>
      <c r="H47">
        <v>9.1489999999999991</v>
      </c>
      <c r="I47">
        <v>1886</v>
      </c>
      <c r="J47">
        <v>1.52</v>
      </c>
      <c r="K47">
        <f t="shared" si="2"/>
        <v>22.635000000000002</v>
      </c>
      <c r="L47" t="str">
        <f t="shared" si="3"/>
        <v>15-30s Movement</v>
      </c>
    </row>
    <row r="48" spans="1:12">
      <c r="A48">
        <v>24458</v>
      </c>
      <c r="B48">
        <v>2.7989999999999999</v>
      </c>
      <c r="C48">
        <v>4.4320000000000004</v>
      </c>
      <c r="D48">
        <v>8.5380000000000003</v>
      </c>
      <c r="E48">
        <v>-0.253</v>
      </c>
      <c r="F48">
        <v>-7.6999999999999999E-2</v>
      </c>
      <c r="G48">
        <v>0.39500000000000002</v>
      </c>
      <c r="H48">
        <v>10.018000000000001</v>
      </c>
      <c r="I48">
        <v>1878</v>
      </c>
      <c r="J48">
        <v>1.5129999999999999</v>
      </c>
      <c r="K48">
        <f t="shared" si="2"/>
        <v>23.138000000000002</v>
      </c>
      <c r="L48" t="str">
        <f t="shared" si="3"/>
        <v>15-30s Movement</v>
      </c>
    </row>
    <row r="49" spans="1:12">
      <c r="A49">
        <v>24961</v>
      </c>
      <c r="B49">
        <v>2.3029999999999999</v>
      </c>
      <c r="C49">
        <v>3.496</v>
      </c>
      <c r="D49">
        <v>10.036</v>
      </c>
      <c r="E49">
        <v>0.17499999999999999</v>
      </c>
      <c r="F49">
        <v>-0.104</v>
      </c>
      <c r="G49">
        <v>7.0000000000000001E-3</v>
      </c>
      <c r="H49">
        <v>10.875</v>
      </c>
      <c r="I49">
        <v>1875</v>
      </c>
      <c r="J49">
        <v>1.5109999999999999</v>
      </c>
      <c r="K49">
        <f t="shared" si="2"/>
        <v>23.640999999999998</v>
      </c>
      <c r="L49" t="str">
        <f t="shared" si="3"/>
        <v>15-30s Movement</v>
      </c>
    </row>
    <row r="50" spans="1:12">
      <c r="A50">
        <v>25464</v>
      </c>
      <c r="B50">
        <v>2.2890000000000001</v>
      </c>
      <c r="C50">
        <v>4.101</v>
      </c>
      <c r="D50">
        <v>8.9969999999999999</v>
      </c>
      <c r="E50">
        <v>0.24099999999999999</v>
      </c>
      <c r="F50">
        <v>-0.12</v>
      </c>
      <c r="G50">
        <v>-0.32800000000000001</v>
      </c>
      <c r="H50">
        <v>10.15</v>
      </c>
      <c r="I50">
        <v>1883</v>
      </c>
      <c r="J50">
        <v>1.5169999999999999</v>
      </c>
      <c r="K50">
        <f t="shared" si="2"/>
        <v>24.143999999999998</v>
      </c>
      <c r="L50" t="str">
        <f t="shared" si="3"/>
        <v>15-30s Movement</v>
      </c>
    </row>
    <row r="51" spans="1:12">
      <c r="A51">
        <v>25967</v>
      </c>
      <c r="B51">
        <v>1.92</v>
      </c>
      <c r="C51">
        <v>1.6659999999999999</v>
      </c>
      <c r="D51">
        <v>9.0329999999999995</v>
      </c>
      <c r="E51">
        <v>0.56799999999999995</v>
      </c>
      <c r="F51">
        <v>-3.5999999999999997E-2</v>
      </c>
      <c r="G51">
        <v>-0.81499999999999995</v>
      </c>
      <c r="H51">
        <v>9.3840000000000003</v>
      </c>
      <c r="I51">
        <v>1890</v>
      </c>
      <c r="J51">
        <v>1.5229999999999999</v>
      </c>
      <c r="K51">
        <f t="shared" si="2"/>
        <v>24.646999999999998</v>
      </c>
      <c r="L51" t="str">
        <f t="shared" si="3"/>
        <v>15-30s Movement</v>
      </c>
    </row>
    <row r="52" spans="1:12">
      <c r="A52">
        <v>26470</v>
      </c>
      <c r="B52">
        <v>-0.80400000000000005</v>
      </c>
      <c r="C52">
        <v>-3.9790000000000001</v>
      </c>
      <c r="D52">
        <v>9.8279999999999994</v>
      </c>
      <c r="E52">
        <v>-6.8000000000000005E-2</v>
      </c>
      <c r="F52">
        <v>-0.24</v>
      </c>
      <c r="G52">
        <v>-7.0000000000000001E-3</v>
      </c>
      <c r="H52">
        <v>10.634</v>
      </c>
      <c r="I52">
        <v>1886</v>
      </c>
      <c r="J52">
        <v>1.52</v>
      </c>
      <c r="K52">
        <f t="shared" si="2"/>
        <v>25.15</v>
      </c>
      <c r="L52" t="str">
        <f t="shared" si="3"/>
        <v>15-30s Movement</v>
      </c>
    </row>
    <row r="53" spans="1:12">
      <c r="A53">
        <v>26974</v>
      </c>
      <c r="B53">
        <v>7.9000000000000001E-2</v>
      </c>
      <c r="C53">
        <v>-1.355</v>
      </c>
      <c r="D53">
        <v>10.063000000000001</v>
      </c>
      <c r="E53">
        <v>-0.70099999999999996</v>
      </c>
      <c r="F53">
        <v>0.35199999999999998</v>
      </c>
      <c r="G53">
        <v>0.82299999999999995</v>
      </c>
      <c r="H53">
        <v>10.154</v>
      </c>
      <c r="I53">
        <v>1879</v>
      </c>
      <c r="J53">
        <v>1.514</v>
      </c>
      <c r="K53">
        <f t="shared" si="2"/>
        <v>25.654</v>
      </c>
      <c r="L53" t="str">
        <f t="shared" si="3"/>
        <v>15-30s Movement</v>
      </c>
    </row>
    <row r="54" spans="1:12">
      <c r="A54">
        <v>27477</v>
      </c>
      <c r="B54">
        <v>2.0470000000000002</v>
      </c>
      <c r="C54">
        <v>3.7949999999999999</v>
      </c>
      <c r="D54">
        <v>8.3919999999999995</v>
      </c>
      <c r="E54">
        <v>-0.69599999999999995</v>
      </c>
      <c r="F54">
        <v>0.121</v>
      </c>
      <c r="G54">
        <v>0.53100000000000003</v>
      </c>
      <c r="H54">
        <v>9.4350000000000005</v>
      </c>
      <c r="I54">
        <v>1877</v>
      </c>
      <c r="J54">
        <v>1.5129999999999999</v>
      </c>
      <c r="K54">
        <f t="shared" si="2"/>
        <v>26.157</v>
      </c>
      <c r="L54" t="str">
        <f t="shared" si="3"/>
        <v>15-30s Movement</v>
      </c>
    </row>
    <row r="55" spans="1:12">
      <c r="A55">
        <v>27980</v>
      </c>
      <c r="B55">
        <v>2.6459999999999999</v>
      </c>
      <c r="C55">
        <v>5.5469999999999997</v>
      </c>
      <c r="D55">
        <v>12.250999999999999</v>
      </c>
      <c r="E55">
        <v>0.55200000000000005</v>
      </c>
      <c r="F55">
        <v>-0.39400000000000002</v>
      </c>
      <c r="G55">
        <v>-0.21</v>
      </c>
      <c r="H55">
        <v>13.706</v>
      </c>
      <c r="I55">
        <v>1885</v>
      </c>
      <c r="J55">
        <v>1.5189999999999999</v>
      </c>
      <c r="K55">
        <f t="shared" si="2"/>
        <v>26.66</v>
      </c>
      <c r="L55" t="str">
        <f t="shared" si="3"/>
        <v>15-30s Movement</v>
      </c>
    </row>
    <row r="56" spans="1:12">
      <c r="A56">
        <v>28483</v>
      </c>
      <c r="B56">
        <v>2.6789999999999998</v>
      </c>
      <c r="C56">
        <v>5.085</v>
      </c>
      <c r="D56">
        <v>10.609</v>
      </c>
      <c r="E56">
        <v>0.125</v>
      </c>
      <c r="F56">
        <v>-0.16600000000000001</v>
      </c>
      <c r="G56">
        <v>1.0999999999999999E-2</v>
      </c>
      <c r="H56">
        <v>12.066000000000001</v>
      </c>
      <c r="I56">
        <v>1882</v>
      </c>
      <c r="J56">
        <v>1.5169999999999999</v>
      </c>
      <c r="K56">
        <f t="shared" si="2"/>
        <v>27.163</v>
      </c>
      <c r="L56" t="str">
        <f t="shared" si="3"/>
        <v>15-30s Movement</v>
      </c>
    </row>
    <row r="57" spans="1:12">
      <c r="A57">
        <v>28986</v>
      </c>
      <c r="B57">
        <v>2.5449999999999999</v>
      </c>
      <c r="C57">
        <v>5.1020000000000003</v>
      </c>
      <c r="D57">
        <v>10.907999999999999</v>
      </c>
      <c r="E57">
        <v>0.215</v>
      </c>
      <c r="F57">
        <v>-0.161</v>
      </c>
      <c r="G57">
        <v>-0.152</v>
      </c>
      <c r="H57">
        <v>12.308</v>
      </c>
      <c r="I57">
        <v>1887</v>
      </c>
      <c r="J57">
        <v>1.5209999999999999</v>
      </c>
      <c r="K57">
        <f t="shared" si="2"/>
        <v>27.666</v>
      </c>
      <c r="L57" t="str">
        <f t="shared" si="3"/>
        <v>15-30s Movement</v>
      </c>
    </row>
    <row r="58" spans="1:12">
      <c r="A58">
        <v>29489</v>
      </c>
      <c r="B58">
        <v>2.452</v>
      </c>
      <c r="C58">
        <v>4.8120000000000003</v>
      </c>
      <c r="D58">
        <v>10.077</v>
      </c>
      <c r="E58">
        <v>0.38300000000000001</v>
      </c>
      <c r="F58">
        <v>-0.31</v>
      </c>
      <c r="G58">
        <v>-0.33800000000000002</v>
      </c>
      <c r="H58">
        <v>11.433</v>
      </c>
      <c r="I58">
        <v>1882</v>
      </c>
      <c r="J58">
        <v>1.5169999999999999</v>
      </c>
      <c r="K58">
        <f t="shared" si="2"/>
        <v>28.169</v>
      </c>
      <c r="L58" t="str">
        <f t="shared" si="3"/>
        <v>15-30s Movement</v>
      </c>
    </row>
    <row r="59" spans="1:12">
      <c r="A59">
        <v>29992</v>
      </c>
      <c r="B59">
        <v>1.956</v>
      </c>
      <c r="C59">
        <v>2.9449999999999998</v>
      </c>
      <c r="D59">
        <v>9.9220000000000006</v>
      </c>
      <c r="E59">
        <v>0.56699999999999995</v>
      </c>
      <c r="F59">
        <v>-0.11600000000000001</v>
      </c>
      <c r="G59">
        <v>-0.54500000000000004</v>
      </c>
      <c r="H59">
        <v>10.532999999999999</v>
      </c>
      <c r="I59">
        <v>1882</v>
      </c>
      <c r="J59">
        <v>1.5169999999999999</v>
      </c>
      <c r="K59">
        <f t="shared" si="2"/>
        <v>28.672000000000001</v>
      </c>
      <c r="L59" t="str">
        <f t="shared" si="3"/>
        <v>15-30s Movement</v>
      </c>
    </row>
    <row r="60" spans="1:12">
      <c r="A60">
        <v>30495</v>
      </c>
      <c r="B60">
        <v>1.8839999999999999</v>
      </c>
      <c r="C60">
        <v>2.7010000000000001</v>
      </c>
      <c r="D60">
        <v>9.3109999999999999</v>
      </c>
      <c r="E60">
        <v>0.96899999999999997</v>
      </c>
      <c r="F60">
        <v>-0.22</v>
      </c>
      <c r="G60">
        <v>-0.92400000000000004</v>
      </c>
      <c r="H60">
        <v>9.8759999999999994</v>
      </c>
      <c r="I60">
        <v>1882</v>
      </c>
      <c r="J60">
        <v>1.5169999999999999</v>
      </c>
      <c r="K60">
        <f t="shared" si="2"/>
        <v>29.175000000000001</v>
      </c>
      <c r="L60" t="str">
        <f t="shared" si="3"/>
        <v>15-30s Movement</v>
      </c>
    </row>
    <row r="61" spans="1:12">
      <c r="A61">
        <v>30998</v>
      </c>
      <c r="B61">
        <v>0.47599999999999998</v>
      </c>
      <c r="C61">
        <v>-2.9860000000000002</v>
      </c>
      <c r="D61">
        <v>8.3439999999999994</v>
      </c>
      <c r="E61">
        <v>0.57599999999999996</v>
      </c>
      <c r="F61">
        <v>-0.32500000000000001</v>
      </c>
      <c r="G61">
        <v>-0.69799999999999995</v>
      </c>
      <c r="H61">
        <v>8.875</v>
      </c>
      <c r="I61">
        <v>1891</v>
      </c>
      <c r="J61">
        <v>1.524</v>
      </c>
      <c r="K61">
        <f t="shared" si="2"/>
        <v>29.678000000000001</v>
      </c>
      <c r="L61" t="str">
        <f t="shared" si="3"/>
        <v>15-30s Movement</v>
      </c>
    </row>
    <row r="62" spans="1:12">
      <c r="A62">
        <v>31501</v>
      </c>
      <c r="B62">
        <v>-2.1999999999999999E-2</v>
      </c>
      <c r="C62">
        <v>-3.1579999999999999</v>
      </c>
      <c r="D62">
        <v>8.0760000000000005</v>
      </c>
      <c r="E62">
        <v>7.0000000000000007E-2</v>
      </c>
      <c r="F62">
        <v>-0.114</v>
      </c>
      <c r="G62">
        <v>-0.111</v>
      </c>
      <c r="H62">
        <v>8.6709999999999994</v>
      </c>
      <c r="I62">
        <v>1890</v>
      </c>
      <c r="J62">
        <v>1.5229999999999999</v>
      </c>
      <c r="K62">
        <f t="shared" si="2"/>
        <v>30.181000000000001</v>
      </c>
      <c r="L62" t="str">
        <f t="shared" si="3"/>
        <v>30-45s Movement</v>
      </c>
    </row>
    <row r="63" spans="1:12">
      <c r="A63">
        <v>32507</v>
      </c>
      <c r="B63">
        <v>1.204</v>
      </c>
      <c r="C63">
        <v>1.135</v>
      </c>
      <c r="D63">
        <v>13.585000000000001</v>
      </c>
      <c r="E63">
        <v>0.35099999999999998</v>
      </c>
      <c r="F63">
        <v>-0.21299999999999999</v>
      </c>
      <c r="G63">
        <v>-9.0999999999999998E-2</v>
      </c>
      <c r="H63">
        <v>13.685</v>
      </c>
      <c r="I63">
        <v>1883</v>
      </c>
      <c r="J63">
        <v>1.5169999999999999</v>
      </c>
      <c r="K63">
        <f t="shared" si="2"/>
        <v>31.187000000000001</v>
      </c>
      <c r="L63" t="str">
        <f t="shared" si="3"/>
        <v>30-45s Movement</v>
      </c>
    </row>
    <row r="64" spans="1:12">
      <c r="A64">
        <v>33010</v>
      </c>
      <c r="B64">
        <v>0.62</v>
      </c>
      <c r="C64">
        <v>1.0029999999999999</v>
      </c>
      <c r="D64">
        <v>15.574</v>
      </c>
      <c r="E64">
        <v>0.156</v>
      </c>
      <c r="F64">
        <v>-0.191</v>
      </c>
      <c r="G64">
        <v>8.9999999999999993E-3</v>
      </c>
      <c r="H64">
        <v>15.619</v>
      </c>
      <c r="I64">
        <v>1871</v>
      </c>
      <c r="J64">
        <v>1.508</v>
      </c>
      <c r="K64">
        <f t="shared" si="2"/>
        <v>31.69</v>
      </c>
      <c r="L64" t="str">
        <f t="shared" si="3"/>
        <v>30-45s Movement</v>
      </c>
    </row>
    <row r="65" spans="1:12">
      <c r="A65">
        <v>33513</v>
      </c>
      <c r="B65">
        <v>0.91700000000000004</v>
      </c>
      <c r="C65">
        <v>0.38800000000000001</v>
      </c>
      <c r="D65">
        <v>7.46</v>
      </c>
      <c r="E65">
        <v>-0.51</v>
      </c>
      <c r="F65">
        <v>0.156</v>
      </c>
      <c r="G65">
        <v>6.6000000000000003E-2</v>
      </c>
      <c r="H65">
        <v>7.5259999999999998</v>
      </c>
      <c r="I65">
        <v>1886</v>
      </c>
      <c r="J65">
        <v>1.52</v>
      </c>
      <c r="K65">
        <f t="shared" si="2"/>
        <v>32.192999999999998</v>
      </c>
      <c r="L65" t="str">
        <f t="shared" si="3"/>
        <v>30-45s Movement</v>
      </c>
    </row>
    <row r="66" spans="1:12">
      <c r="A66">
        <v>34016</v>
      </c>
      <c r="B66">
        <v>1.458</v>
      </c>
      <c r="C66">
        <v>-0.13600000000000001</v>
      </c>
      <c r="D66">
        <v>5.5350000000000001</v>
      </c>
      <c r="E66">
        <v>-8.4000000000000005E-2</v>
      </c>
      <c r="F66">
        <v>-7.5999999999999998E-2</v>
      </c>
      <c r="G66">
        <v>2.8000000000000001E-2</v>
      </c>
      <c r="H66">
        <v>5.726</v>
      </c>
      <c r="I66">
        <v>1887</v>
      </c>
      <c r="J66">
        <v>1.5209999999999999</v>
      </c>
      <c r="K66">
        <f t="shared" ref="K66:K97" si="4">(A66-$A$2)/1000</f>
        <v>32.695999999999998</v>
      </c>
      <c r="L66" t="str">
        <f t="shared" ref="L66:L97" si="5">IF(K66&lt;15,"0-15s Stationary",IF(K66&lt;30,"15-30s Movement",IF(K66&lt;45,"30-45s Movement","45-60s Stationary")))</f>
        <v>30-45s Movement</v>
      </c>
    </row>
    <row r="67" spans="1:12">
      <c r="A67">
        <v>34519</v>
      </c>
      <c r="B67">
        <v>1.456</v>
      </c>
      <c r="C67">
        <v>-6.2E-2</v>
      </c>
      <c r="D67">
        <v>7.0990000000000002</v>
      </c>
      <c r="E67">
        <v>0.14000000000000001</v>
      </c>
      <c r="F67">
        <v>-0.23499999999999999</v>
      </c>
      <c r="G67">
        <v>-0.107</v>
      </c>
      <c r="H67">
        <v>7.2469999999999999</v>
      </c>
      <c r="I67">
        <v>1890</v>
      </c>
      <c r="J67">
        <v>1.5229999999999999</v>
      </c>
      <c r="K67">
        <f t="shared" si="4"/>
        <v>33.198999999999998</v>
      </c>
      <c r="L67" t="str">
        <f t="shared" si="5"/>
        <v>30-45s Movement</v>
      </c>
    </row>
    <row r="68" spans="1:12">
      <c r="A68">
        <v>35022</v>
      </c>
      <c r="B68">
        <v>1.4319999999999999</v>
      </c>
      <c r="C68">
        <v>0.17499999999999999</v>
      </c>
      <c r="D68">
        <v>8.4559999999999995</v>
      </c>
      <c r="E68">
        <v>0.24199999999999999</v>
      </c>
      <c r="F68">
        <v>-0.17499999999999999</v>
      </c>
      <c r="G68">
        <v>5.0000000000000001E-3</v>
      </c>
      <c r="H68">
        <v>8.5779999999999994</v>
      </c>
      <c r="I68">
        <v>1883</v>
      </c>
      <c r="J68">
        <v>1.5169999999999999</v>
      </c>
      <c r="K68">
        <f t="shared" si="4"/>
        <v>33.701999999999998</v>
      </c>
      <c r="L68" t="str">
        <f t="shared" si="5"/>
        <v>30-45s Movement</v>
      </c>
    </row>
    <row r="69" spans="1:12">
      <c r="A69">
        <v>35525</v>
      </c>
      <c r="B69">
        <v>1.238</v>
      </c>
      <c r="C69">
        <v>-0.53600000000000003</v>
      </c>
      <c r="D69">
        <v>8.1039999999999992</v>
      </c>
      <c r="E69">
        <v>0.30199999999999999</v>
      </c>
      <c r="F69">
        <v>-0.17599999999999999</v>
      </c>
      <c r="G69">
        <v>-0.11</v>
      </c>
      <c r="H69">
        <v>8.2159999999999993</v>
      </c>
      <c r="I69">
        <v>1882</v>
      </c>
      <c r="J69">
        <v>1.5169999999999999</v>
      </c>
      <c r="K69">
        <f t="shared" si="4"/>
        <v>34.204999999999998</v>
      </c>
      <c r="L69" t="str">
        <f t="shared" si="5"/>
        <v>30-45s Movement</v>
      </c>
    </row>
    <row r="70" spans="1:12">
      <c r="A70">
        <v>36028</v>
      </c>
      <c r="B70">
        <v>1.097</v>
      </c>
      <c r="C70">
        <v>0.12</v>
      </c>
      <c r="D70">
        <v>13.151</v>
      </c>
      <c r="E70">
        <v>0.13300000000000001</v>
      </c>
      <c r="F70">
        <v>-0.06</v>
      </c>
      <c r="G70">
        <v>-0.122</v>
      </c>
      <c r="H70">
        <v>13.198</v>
      </c>
      <c r="I70">
        <v>1883</v>
      </c>
      <c r="J70">
        <v>1.5169999999999999</v>
      </c>
      <c r="K70">
        <f t="shared" si="4"/>
        <v>34.707999999999998</v>
      </c>
      <c r="L70" t="str">
        <f t="shared" si="5"/>
        <v>30-45s Movement</v>
      </c>
    </row>
    <row r="71" spans="1:12">
      <c r="A71">
        <v>36531</v>
      </c>
      <c r="B71">
        <v>1.405</v>
      </c>
      <c r="C71">
        <v>0.13900000000000001</v>
      </c>
      <c r="D71">
        <v>14.207000000000001</v>
      </c>
      <c r="E71">
        <v>-4.8000000000000001E-2</v>
      </c>
      <c r="F71">
        <v>-0.108</v>
      </c>
      <c r="G71">
        <v>7.0000000000000007E-2</v>
      </c>
      <c r="H71">
        <v>14.276999999999999</v>
      </c>
      <c r="I71">
        <v>1882</v>
      </c>
      <c r="J71">
        <v>1.5169999999999999</v>
      </c>
      <c r="K71">
        <f t="shared" si="4"/>
        <v>35.210999999999999</v>
      </c>
      <c r="L71" t="str">
        <f t="shared" si="5"/>
        <v>30-45s Movement</v>
      </c>
    </row>
    <row r="72" spans="1:12">
      <c r="A72">
        <v>37034</v>
      </c>
      <c r="B72">
        <v>1.681</v>
      </c>
      <c r="C72">
        <v>0.20100000000000001</v>
      </c>
      <c r="D72">
        <v>6.9809999999999999</v>
      </c>
      <c r="E72">
        <v>-0.29399999999999998</v>
      </c>
      <c r="F72">
        <v>2.3E-2</v>
      </c>
      <c r="G72">
        <v>0.05</v>
      </c>
      <c r="H72">
        <v>7.1840000000000002</v>
      </c>
      <c r="I72">
        <v>1887</v>
      </c>
      <c r="J72">
        <v>1.5209999999999999</v>
      </c>
      <c r="K72">
        <f t="shared" si="4"/>
        <v>35.713999999999999</v>
      </c>
      <c r="L72" t="str">
        <f t="shared" si="5"/>
        <v>30-45s Movement</v>
      </c>
    </row>
    <row r="73" spans="1:12">
      <c r="A73">
        <v>37537</v>
      </c>
      <c r="B73">
        <v>1.2809999999999999</v>
      </c>
      <c r="C73">
        <v>-0.76100000000000001</v>
      </c>
      <c r="D73">
        <v>4.87</v>
      </c>
      <c r="E73">
        <v>-3.6999999999999998E-2</v>
      </c>
      <c r="F73">
        <v>-0.106</v>
      </c>
      <c r="G73">
        <v>-6.3E-2</v>
      </c>
      <c r="H73">
        <v>5.093</v>
      </c>
      <c r="I73">
        <v>1885</v>
      </c>
      <c r="J73">
        <v>1.5189999999999999</v>
      </c>
      <c r="K73">
        <f t="shared" si="4"/>
        <v>36.216999999999999</v>
      </c>
      <c r="L73" t="str">
        <f t="shared" si="5"/>
        <v>30-45s Movement</v>
      </c>
    </row>
    <row r="74" spans="1:12">
      <c r="A74">
        <v>38040</v>
      </c>
      <c r="B74">
        <v>1.5629999999999999</v>
      </c>
      <c r="C74">
        <v>-0.39500000000000002</v>
      </c>
      <c r="D74">
        <v>8.44</v>
      </c>
      <c r="E74">
        <v>0.30399999999999999</v>
      </c>
      <c r="F74">
        <v>-0.248</v>
      </c>
      <c r="G74">
        <v>-8.7999999999999995E-2</v>
      </c>
      <c r="H74">
        <v>8.5920000000000005</v>
      </c>
      <c r="I74">
        <v>1892</v>
      </c>
      <c r="J74">
        <v>1.5249999999999999</v>
      </c>
      <c r="K74">
        <f t="shared" si="4"/>
        <v>36.72</v>
      </c>
      <c r="L74" t="str">
        <f t="shared" si="5"/>
        <v>30-45s Movement</v>
      </c>
    </row>
    <row r="75" spans="1:12">
      <c r="A75">
        <v>38543</v>
      </c>
      <c r="B75">
        <v>0.57699999999999996</v>
      </c>
      <c r="C75">
        <v>-0.5</v>
      </c>
      <c r="D75">
        <v>14.298</v>
      </c>
      <c r="E75">
        <v>0.182</v>
      </c>
      <c r="F75">
        <v>-0.246</v>
      </c>
      <c r="G75">
        <v>-2.1999999999999999E-2</v>
      </c>
      <c r="H75">
        <v>14.319000000000001</v>
      </c>
      <c r="I75">
        <v>1890</v>
      </c>
      <c r="J75">
        <v>1.5229999999999999</v>
      </c>
      <c r="K75">
        <f t="shared" si="4"/>
        <v>37.222999999999999</v>
      </c>
      <c r="L75" t="str">
        <f t="shared" si="5"/>
        <v>30-45s Movement</v>
      </c>
    </row>
    <row r="76" spans="1:12">
      <c r="A76">
        <v>39046</v>
      </c>
      <c r="B76">
        <v>1.2829999999999999</v>
      </c>
      <c r="C76">
        <v>0.21099999999999999</v>
      </c>
      <c r="D76">
        <v>8.9160000000000004</v>
      </c>
      <c r="E76">
        <v>-0.33500000000000002</v>
      </c>
      <c r="F76">
        <v>0.19500000000000001</v>
      </c>
      <c r="G76">
        <v>2.3E-2</v>
      </c>
      <c r="H76">
        <v>9.01</v>
      </c>
      <c r="I76">
        <v>1884</v>
      </c>
      <c r="J76">
        <v>1.518</v>
      </c>
      <c r="K76">
        <f t="shared" si="4"/>
        <v>37.725999999999999</v>
      </c>
      <c r="L76" t="str">
        <f t="shared" si="5"/>
        <v>30-45s Movement</v>
      </c>
    </row>
    <row r="77" spans="1:12">
      <c r="A77">
        <v>39549</v>
      </c>
      <c r="B77">
        <v>1.5369999999999999</v>
      </c>
      <c r="C77">
        <v>4.4999999999999998E-2</v>
      </c>
      <c r="D77">
        <v>5.48</v>
      </c>
      <c r="E77">
        <v>-2.3E-2</v>
      </c>
      <c r="F77">
        <v>-8.7999999999999995E-2</v>
      </c>
      <c r="G77">
        <v>-2.1000000000000001E-2</v>
      </c>
      <c r="H77">
        <v>5.6920000000000002</v>
      </c>
      <c r="I77">
        <v>1883</v>
      </c>
      <c r="J77">
        <v>1.5169999999999999</v>
      </c>
      <c r="K77">
        <f t="shared" si="4"/>
        <v>38.228999999999999</v>
      </c>
      <c r="L77" t="str">
        <f t="shared" si="5"/>
        <v>30-45s Movement</v>
      </c>
    </row>
    <row r="78" spans="1:12">
      <c r="A78">
        <v>40052</v>
      </c>
      <c r="B78">
        <v>1.216</v>
      </c>
      <c r="C78">
        <v>-9.6000000000000002E-2</v>
      </c>
      <c r="D78">
        <v>8.76</v>
      </c>
      <c r="E78">
        <v>0.34200000000000003</v>
      </c>
      <c r="F78">
        <v>-0.38200000000000001</v>
      </c>
      <c r="G78">
        <v>-5.1999999999999998E-2</v>
      </c>
      <c r="H78">
        <v>8.8450000000000006</v>
      </c>
      <c r="I78">
        <v>1890</v>
      </c>
      <c r="J78">
        <v>1.5229999999999999</v>
      </c>
      <c r="K78">
        <f t="shared" si="4"/>
        <v>38.731999999999999</v>
      </c>
      <c r="L78" t="str">
        <f t="shared" si="5"/>
        <v>30-45s Movement</v>
      </c>
    </row>
    <row r="79" spans="1:12">
      <c r="A79">
        <v>40555</v>
      </c>
      <c r="B79">
        <v>0.66600000000000004</v>
      </c>
      <c r="C79">
        <v>-0.13900000000000001</v>
      </c>
      <c r="D79">
        <v>11.602</v>
      </c>
      <c r="E79">
        <v>0.19800000000000001</v>
      </c>
      <c r="F79">
        <v>-0.111</v>
      </c>
      <c r="G79">
        <v>-4.3999999999999997E-2</v>
      </c>
      <c r="H79">
        <v>11.622</v>
      </c>
      <c r="I79">
        <v>1882</v>
      </c>
      <c r="J79">
        <v>1.5169999999999999</v>
      </c>
      <c r="K79">
        <f t="shared" si="4"/>
        <v>39.234999999999999</v>
      </c>
      <c r="L79" t="str">
        <f t="shared" si="5"/>
        <v>30-45s Movement</v>
      </c>
    </row>
    <row r="80" spans="1:12">
      <c r="A80">
        <v>41058</v>
      </c>
      <c r="B80">
        <v>0.66600000000000004</v>
      </c>
      <c r="C80">
        <v>4.2999999999999997E-2</v>
      </c>
      <c r="D80">
        <v>12.957000000000001</v>
      </c>
      <c r="E80">
        <v>0.13700000000000001</v>
      </c>
      <c r="F80">
        <v>-0.155</v>
      </c>
      <c r="G80">
        <v>-0.114</v>
      </c>
      <c r="H80">
        <v>12.975</v>
      </c>
      <c r="I80">
        <v>1883</v>
      </c>
      <c r="J80">
        <v>1.5169999999999999</v>
      </c>
      <c r="K80">
        <f t="shared" si="4"/>
        <v>39.738</v>
      </c>
      <c r="L80" t="str">
        <f t="shared" si="5"/>
        <v>30-45s Movement</v>
      </c>
    </row>
    <row r="81" spans="1:12">
      <c r="A81">
        <v>41561</v>
      </c>
      <c r="B81">
        <v>1.903</v>
      </c>
      <c r="C81">
        <v>0.97</v>
      </c>
      <c r="D81">
        <v>12.984</v>
      </c>
      <c r="E81">
        <v>1.18</v>
      </c>
      <c r="F81">
        <v>0.46899999999999997</v>
      </c>
      <c r="G81">
        <v>0.126</v>
      </c>
      <c r="H81">
        <v>13.157999999999999</v>
      </c>
      <c r="I81">
        <v>1887</v>
      </c>
      <c r="J81">
        <v>1.5209999999999999</v>
      </c>
      <c r="K81">
        <f t="shared" si="4"/>
        <v>40.241</v>
      </c>
      <c r="L81" t="str">
        <f t="shared" si="5"/>
        <v>30-45s Movement</v>
      </c>
    </row>
    <row r="82" spans="1:12">
      <c r="A82">
        <v>42064</v>
      </c>
      <c r="B82">
        <v>1.0409999999999999</v>
      </c>
      <c r="C82">
        <v>0.62</v>
      </c>
      <c r="D82">
        <v>10.743</v>
      </c>
      <c r="E82">
        <v>-0.32600000000000001</v>
      </c>
      <c r="F82">
        <v>-4.5999999999999999E-2</v>
      </c>
      <c r="G82">
        <v>0.16600000000000001</v>
      </c>
      <c r="H82">
        <v>10.811</v>
      </c>
      <c r="I82">
        <v>1886</v>
      </c>
      <c r="J82">
        <v>1.52</v>
      </c>
      <c r="K82">
        <f t="shared" si="4"/>
        <v>40.744</v>
      </c>
      <c r="L82" t="str">
        <f t="shared" si="5"/>
        <v>30-45s Movement</v>
      </c>
    </row>
    <row r="83" spans="1:12">
      <c r="A83">
        <v>42567</v>
      </c>
      <c r="B83">
        <v>1.3340000000000001</v>
      </c>
      <c r="C83">
        <v>0.13900000000000001</v>
      </c>
      <c r="D83">
        <v>6.9409999999999998</v>
      </c>
      <c r="E83">
        <v>-0.30299999999999999</v>
      </c>
      <c r="F83">
        <v>0.09</v>
      </c>
      <c r="G83">
        <v>4.2000000000000003E-2</v>
      </c>
      <c r="H83">
        <v>7.069</v>
      </c>
      <c r="I83">
        <v>1887</v>
      </c>
      <c r="J83">
        <v>1.5209999999999999</v>
      </c>
      <c r="K83">
        <f t="shared" si="4"/>
        <v>41.247</v>
      </c>
      <c r="L83" t="str">
        <f t="shared" si="5"/>
        <v>30-45s Movement</v>
      </c>
    </row>
    <row r="84" spans="1:12">
      <c r="A84">
        <v>43070</v>
      </c>
      <c r="B84">
        <v>1.319</v>
      </c>
      <c r="C84">
        <v>0.86699999999999999</v>
      </c>
      <c r="D84">
        <v>6.73</v>
      </c>
      <c r="E84">
        <v>-2E-3</v>
      </c>
      <c r="F84">
        <v>0.09</v>
      </c>
      <c r="G84">
        <v>8.3000000000000004E-2</v>
      </c>
      <c r="H84">
        <v>6.9130000000000003</v>
      </c>
      <c r="I84">
        <v>1885</v>
      </c>
      <c r="J84">
        <v>1.5189999999999999</v>
      </c>
      <c r="K84">
        <f t="shared" si="4"/>
        <v>41.75</v>
      </c>
      <c r="L84" t="str">
        <f t="shared" si="5"/>
        <v>30-45s Movement</v>
      </c>
    </row>
    <row r="85" spans="1:12">
      <c r="A85">
        <v>43573</v>
      </c>
      <c r="B85">
        <v>1.456</v>
      </c>
      <c r="C85">
        <v>0.96199999999999997</v>
      </c>
      <c r="D85">
        <v>5.375</v>
      </c>
      <c r="E85">
        <v>4.2000000000000003E-2</v>
      </c>
      <c r="F85">
        <v>-9.1999999999999998E-2</v>
      </c>
      <c r="G85">
        <v>-4.7E-2</v>
      </c>
      <c r="H85">
        <v>5.6509999999999998</v>
      </c>
      <c r="I85">
        <v>1891</v>
      </c>
      <c r="J85">
        <v>1.524</v>
      </c>
      <c r="K85">
        <f t="shared" si="4"/>
        <v>42.253</v>
      </c>
      <c r="L85" t="str">
        <f t="shared" si="5"/>
        <v>30-45s Movement</v>
      </c>
    </row>
    <row r="86" spans="1:12">
      <c r="A86">
        <v>44076</v>
      </c>
      <c r="B86">
        <v>1.0940000000000001</v>
      </c>
      <c r="C86">
        <v>1.286</v>
      </c>
      <c r="D86">
        <v>9.1509999999999998</v>
      </c>
      <c r="E86">
        <v>0.186</v>
      </c>
      <c r="F86">
        <v>-0.34300000000000003</v>
      </c>
      <c r="G86">
        <v>-2.7E-2</v>
      </c>
      <c r="H86">
        <v>9.3049999999999997</v>
      </c>
      <c r="I86">
        <v>1885</v>
      </c>
      <c r="J86">
        <v>1.5189999999999999</v>
      </c>
      <c r="K86">
        <f t="shared" si="4"/>
        <v>42.756</v>
      </c>
      <c r="L86" t="str">
        <f t="shared" si="5"/>
        <v>30-45s Movement</v>
      </c>
    </row>
    <row r="87" spans="1:12">
      <c r="A87">
        <v>44579</v>
      </c>
      <c r="B87">
        <v>0.752</v>
      </c>
      <c r="C87">
        <v>1.6950000000000001</v>
      </c>
      <c r="D87">
        <v>10.851000000000001</v>
      </c>
      <c r="E87">
        <v>0.13900000000000001</v>
      </c>
      <c r="F87">
        <v>-0.34599999999999997</v>
      </c>
      <c r="G87">
        <v>-7.2999999999999995E-2</v>
      </c>
      <c r="H87">
        <v>11.007999999999999</v>
      </c>
      <c r="I87">
        <v>1882</v>
      </c>
      <c r="J87">
        <v>1.5169999999999999</v>
      </c>
      <c r="K87">
        <f t="shared" si="4"/>
        <v>43.259</v>
      </c>
      <c r="L87" t="str">
        <f t="shared" si="5"/>
        <v>30-45s Movement</v>
      </c>
    </row>
    <row r="88" spans="1:12">
      <c r="A88">
        <v>45082</v>
      </c>
      <c r="B88">
        <v>0.98899999999999999</v>
      </c>
      <c r="C88">
        <v>0.89100000000000001</v>
      </c>
      <c r="D88">
        <v>9.3640000000000008</v>
      </c>
      <c r="E88">
        <v>-0.378</v>
      </c>
      <c r="F88">
        <v>0</v>
      </c>
      <c r="G88">
        <v>2.8000000000000001E-2</v>
      </c>
      <c r="H88">
        <v>9.4580000000000002</v>
      </c>
      <c r="I88">
        <v>1889</v>
      </c>
      <c r="J88">
        <v>1.522</v>
      </c>
      <c r="K88">
        <f t="shared" si="4"/>
        <v>43.762</v>
      </c>
      <c r="L88" t="str">
        <f t="shared" si="5"/>
        <v>30-45s Movement</v>
      </c>
    </row>
    <row r="89" spans="1:12">
      <c r="A89">
        <v>45585</v>
      </c>
      <c r="B89">
        <v>1.8029999999999999</v>
      </c>
      <c r="C89">
        <v>0.71599999999999997</v>
      </c>
      <c r="D89">
        <v>5.5810000000000004</v>
      </c>
      <c r="E89">
        <v>-0.26100000000000001</v>
      </c>
      <c r="F89">
        <v>-6.2E-2</v>
      </c>
      <c r="G89">
        <v>0.03</v>
      </c>
      <c r="H89">
        <v>5.9080000000000004</v>
      </c>
      <c r="I89">
        <v>1885</v>
      </c>
      <c r="J89">
        <v>1.5189999999999999</v>
      </c>
      <c r="K89">
        <f t="shared" si="4"/>
        <v>44.265000000000001</v>
      </c>
      <c r="L89" t="str">
        <f t="shared" si="5"/>
        <v>30-45s Movement</v>
      </c>
    </row>
    <row r="90" spans="1:12">
      <c r="A90">
        <v>46088</v>
      </c>
      <c r="B90">
        <v>1.2949999999999999</v>
      </c>
      <c r="C90">
        <v>0.48799999999999999</v>
      </c>
      <c r="D90">
        <v>6.2009999999999996</v>
      </c>
      <c r="E90">
        <v>-3.5999999999999997E-2</v>
      </c>
      <c r="F90">
        <v>-5.0000000000000001E-3</v>
      </c>
      <c r="G90">
        <v>0.109</v>
      </c>
      <c r="H90">
        <v>6.3540000000000001</v>
      </c>
      <c r="I90">
        <v>1889</v>
      </c>
      <c r="J90">
        <v>1.522</v>
      </c>
      <c r="K90">
        <f t="shared" si="4"/>
        <v>44.768000000000001</v>
      </c>
      <c r="L90" t="str">
        <f t="shared" si="5"/>
        <v>30-45s Movement</v>
      </c>
    </row>
    <row r="91" spans="1:12">
      <c r="A91">
        <v>46591</v>
      </c>
      <c r="B91">
        <v>1.429</v>
      </c>
      <c r="C91">
        <v>2.9000000000000001E-2</v>
      </c>
      <c r="D91">
        <v>6.0289999999999999</v>
      </c>
      <c r="E91">
        <v>-0.23699999999999999</v>
      </c>
      <c r="F91">
        <v>1.6E-2</v>
      </c>
      <c r="G91">
        <v>6.7000000000000004E-2</v>
      </c>
      <c r="H91">
        <v>6.1959999999999997</v>
      </c>
      <c r="I91">
        <v>1888</v>
      </c>
      <c r="J91">
        <v>1.5209999999999999</v>
      </c>
      <c r="K91">
        <f t="shared" si="4"/>
        <v>45.271000000000001</v>
      </c>
      <c r="L91" t="str">
        <f t="shared" si="5"/>
        <v>45-60s Stationary</v>
      </c>
    </row>
    <row r="92" spans="1:12">
      <c r="A92">
        <v>47094</v>
      </c>
      <c r="B92">
        <v>1.2929999999999999</v>
      </c>
      <c r="C92">
        <v>-0.20599999999999999</v>
      </c>
      <c r="D92">
        <v>5.4779999999999998</v>
      </c>
      <c r="E92">
        <v>-0.114</v>
      </c>
      <c r="F92">
        <v>-7.3999999999999996E-2</v>
      </c>
      <c r="G92">
        <v>-2.4E-2</v>
      </c>
      <c r="H92">
        <v>5.6319999999999997</v>
      </c>
      <c r="I92">
        <v>1879</v>
      </c>
      <c r="J92">
        <v>1.514</v>
      </c>
      <c r="K92">
        <f t="shared" si="4"/>
        <v>45.774000000000001</v>
      </c>
      <c r="L92" t="str">
        <f t="shared" si="5"/>
        <v>45-60s Stationary</v>
      </c>
    </row>
    <row r="93" spans="1:12">
      <c r="A93">
        <v>47597</v>
      </c>
      <c r="B93">
        <v>1.413</v>
      </c>
      <c r="C93">
        <v>0.40699999999999997</v>
      </c>
      <c r="D93">
        <v>7.4720000000000004</v>
      </c>
      <c r="E93">
        <v>0.22700000000000001</v>
      </c>
      <c r="F93">
        <v>-0.29299999999999998</v>
      </c>
      <c r="G93">
        <v>-3.9E-2</v>
      </c>
      <c r="H93">
        <v>7.6159999999999997</v>
      </c>
      <c r="I93">
        <v>1883</v>
      </c>
      <c r="J93">
        <v>1.5169999999999999</v>
      </c>
      <c r="K93">
        <f t="shared" si="4"/>
        <v>46.277000000000001</v>
      </c>
      <c r="L93" t="str">
        <f t="shared" si="5"/>
        <v>45-60s Stationary</v>
      </c>
    </row>
    <row r="94" spans="1:12">
      <c r="A94">
        <v>48100</v>
      </c>
      <c r="B94">
        <v>7.0000000000000001E-3</v>
      </c>
      <c r="C94">
        <v>0.45</v>
      </c>
      <c r="D94">
        <v>8.8369999999999997</v>
      </c>
      <c r="E94">
        <v>-0.18099999999999999</v>
      </c>
      <c r="F94">
        <v>0.20699999999999999</v>
      </c>
      <c r="G94">
        <v>7.3999999999999996E-2</v>
      </c>
      <c r="H94">
        <v>8.8480000000000008</v>
      </c>
      <c r="I94">
        <v>1875</v>
      </c>
      <c r="J94">
        <v>1.5109999999999999</v>
      </c>
      <c r="K94">
        <f t="shared" si="4"/>
        <v>46.78</v>
      </c>
      <c r="L94" t="str">
        <f t="shared" si="5"/>
        <v>45-60s Stationary</v>
      </c>
    </row>
    <row r="95" spans="1:12">
      <c r="A95">
        <v>48603</v>
      </c>
      <c r="B95">
        <v>0.17</v>
      </c>
      <c r="C95">
        <v>-1.7000000000000001E-2</v>
      </c>
      <c r="D95">
        <v>9.4930000000000003</v>
      </c>
      <c r="E95">
        <v>-6.0000000000000001E-3</v>
      </c>
      <c r="F95">
        <v>-8.5000000000000006E-2</v>
      </c>
      <c r="G95">
        <v>-7.0000000000000001E-3</v>
      </c>
      <c r="H95">
        <v>9.4949999999999992</v>
      </c>
      <c r="I95">
        <v>1887</v>
      </c>
      <c r="J95">
        <v>1.5209999999999999</v>
      </c>
      <c r="K95">
        <f t="shared" si="4"/>
        <v>47.283000000000001</v>
      </c>
      <c r="L95" t="str">
        <f t="shared" si="5"/>
        <v>45-60s Stationary</v>
      </c>
    </row>
    <row r="96" spans="1:12">
      <c r="A96">
        <v>49106</v>
      </c>
      <c r="B96">
        <v>0.17</v>
      </c>
      <c r="C96">
        <v>-1.7000000000000001E-2</v>
      </c>
      <c r="D96">
        <v>9.4619999999999997</v>
      </c>
      <c r="E96">
        <v>-7.0000000000000001E-3</v>
      </c>
      <c r="F96">
        <v>-8.5999999999999993E-2</v>
      </c>
      <c r="G96">
        <v>-6.0000000000000001E-3</v>
      </c>
      <c r="H96">
        <v>9.4629999999999992</v>
      </c>
      <c r="I96">
        <v>1885</v>
      </c>
      <c r="J96">
        <v>1.5189999999999999</v>
      </c>
      <c r="K96">
        <f t="shared" si="4"/>
        <v>47.786000000000001</v>
      </c>
      <c r="L96" t="str">
        <f t="shared" si="5"/>
        <v>45-60s Stationary</v>
      </c>
    </row>
    <row r="97" spans="1:12">
      <c r="A97">
        <v>49609</v>
      </c>
      <c r="B97">
        <v>0.182</v>
      </c>
      <c r="C97">
        <v>-0.01</v>
      </c>
      <c r="D97">
        <v>9.4979999999999993</v>
      </c>
      <c r="E97">
        <v>-6.0000000000000001E-3</v>
      </c>
      <c r="F97">
        <v>-8.4000000000000005E-2</v>
      </c>
      <c r="G97">
        <v>-6.0000000000000001E-3</v>
      </c>
      <c r="H97">
        <v>9.5</v>
      </c>
      <c r="I97">
        <v>1878</v>
      </c>
      <c r="J97">
        <v>1.5129999999999999</v>
      </c>
      <c r="K97">
        <f t="shared" si="4"/>
        <v>48.289000000000001</v>
      </c>
      <c r="L97" t="str">
        <f t="shared" si="5"/>
        <v>45-60s Stationary</v>
      </c>
    </row>
    <row r="98" spans="1:12">
      <c r="A98">
        <v>50112</v>
      </c>
      <c r="B98">
        <v>0.17199999999999999</v>
      </c>
      <c r="C98">
        <v>-0.01</v>
      </c>
      <c r="D98">
        <v>9.4830000000000005</v>
      </c>
      <c r="E98">
        <v>-7.0000000000000001E-3</v>
      </c>
      <c r="F98">
        <v>-8.5000000000000006E-2</v>
      </c>
      <c r="G98">
        <v>-7.0000000000000001E-3</v>
      </c>
      <c r="H98">
        <v>9.4849999999999994</v>
      </c>
      <c r="I98">
        <v>1881</v>
      </c>
      <c r="J98">
        <v>1.516</v>
      </c>
      <c r="K98">
        <f t="shared" ref="K98:K124" si="6">(A98-$A$2)/1000</f>
        <v>48.792000000000002</v>
      </c>
      <c r="L98" t="str">
        <f t="shared" ref="L98:L124" si="7">IF(K98&lt;15,"0-15s Stationary",IF(K98&lt;30,"15-30s Movement",IF(K98&lt;45,"30-45s Movement","45-60s Stationary")))</f>
        <v>45-60s Stationary</v>
      </c>
    </row>
    <row r="99" spans="1:12">
      <c r="A99">
        <v>50615</v>
      </c>
      <c r="B99">
        <v>0.17499999999999999</v>
      </c>
      <c r="C99">
        <v>-1.9E-2</v>
      </c>
      <c r="D99">
        <v>9.4710000000000001</v>
      </c>
      <c r="E99">
        <v>-7.0000000000000001E-3</v>
      </c>
      <c r="F99">
        <v>-8.5999999999999993E-2</v>
      </c>
      <c r="G99">
        <v>-7.0000000000000001E-3</v>
      </c>
      <c r="H99">
        <v>9.4730000000000008</v>
      </c>
      <c r="I99">
        <v>1885</v>
      </c>
      <c r="J99">
        <v>1.5189999999999999</v>
      </c>
      <c r="K99">
        <f t="shared" si="6"/>
        <v>49.295000000000002</v>
      </c>
      <c r="L99" t="str">
        <f t="shared" si="7"/>
        <v>45-60s Stationary</v>
      </c>
    </row>
    <row r="100" spans="1:12">
      <c r="A100">
        <v>51118</v>
      </c>
      <c r="B100">
        <v>0.192</v>
      </c>
      <c r="C100">
        <v>-0.01</v>
      </c>
      <c r="D100">
        <v>9.4830000000000005</v>
      </c>
      <c r="E100">
        <v>-7.0000000000000001E-3</v>
      </c>
      <c r="F100">
        <v>-8.5000000000000006E-2</v>
      </c>
      <c r="G100">
        <v>-5.0000000000000001E-3</v>
      </c>
      <c r="H100">
        <v>9.4849999999999994</v>
      </c>
      <c r="I100">
        <v>1886</v>
      </c>
      <c r="J100">
        <v>1.52</v>
      </c>
      <c r="K100">
        <f t="shared" si="6"/>
        <v>49.798000000000002</v>
      </c>
      <c r="L100" t="str">
        <f t="shared" si="7"/>
        <v>45-60s Stationary</v>
      </c>
    </row>
    <row r="101" spans="1:12">
      <c r="A101">
        <v>51621</v>
      </c>
      <c r="B101">
        <v>0.17499999999999999</v>
      </c>
      <c r="C101">
        <v>-1.9E-2</v>
      </c>
      <c r="D101">
        <v>9.4689999999999994</v>
      </c>
      <c r="E101">
        <v>-7.0000000000000001E-3</v>
      </c>
      <c r="F101">
        <v>-8.5000000000000006E-2</v>
      </c>
      <c r="G101">
        <v>-7.0000000000000001E-3</v>
      </c>
      <c r="H101">
        <v>9.4710000000000001</v>
      </c>
      <c r="I101">
        <v>1883</v>
      </c>
      <c r="J101">
        <v>1.5169999999999999</v>
      </c>
      <c r="K101">
        <f t="shared" si="6"/>
        <v>50.301000000000002</v>
      </c>
      <c r="L101" t="str">
        <f t="shared" si="7"/>
        <v>45-60s Stationary</v>
      </c>
    </row>
    <row r="102" spans="1:12">
      <c r="A102">
        <v>52124</v>
      </c>
      <c r="B102">
        <v>0.16800000000000001</v>
      </c>
      <c r="C102">
        <v>-2.1999999999999999E-2</v>
      </c>
      <c r="D102">
        <v>9.4979999999999993</v>
      </c>
      <c r="E102">
        <v>-7.0000000000000001E-3</v>
      </c>
      <c r="F102">
        <v>-8.5000000000000006E-2</v>
      </c>
      <c r="G102">
        <v>-6.0000000000000001E-3</v>
      </c>
      <c r="H102">
        <v>9.4990000000000006</v>
      </c>
      <c r="I102">
        <v>1877</v>
      </c>
      <c r="J102">
        <v>1.5129999999999999</v>
      </c>
      <c r="K102">
        <f t="shared" si="6"/>
        <v>50.804000000000002</v>
      </c>
      <c r="L102" t="str">
        <f t="shared" si="7"/>
        <v>45-60s Stationary</v>
      </c>
    </row>
    <row r="103" spans="1:12">
      <c r="A103">
        <v>52627</v>
      </c>
      <c r="B103">
        <v>0.182</v>
      </c>
      <c r="C103">
        <v>-1.4E-2</v>
      </c>
      <c r="D103">
        <v>9.4789999999999992</v>
      </c>
      <c r="E103">
        <v>-7.0000000000000001E-3</v>
      </c>
      <c r="F103">
        <v>-8.5000000000000006E-2</v>
      </c>
      <c r="G103">
        <v>-7.0000000000000001E-3</v>
      </c>
      <c r="H103">
        <v>9.48</v>
      </c>
      <c r="I103">
        <v>1888</v>
      </c>
      <c r="J103">
        <v>1.5209999999999999</v>
      </c>
      <c r="K103">
        <f t="shared" si="6"/>
        <v>51.307000000000002</v>
      </c>
      <c r="L103" t="str">
        <f t="shared" si="7"/>
        <v>45-60s Stationary</v>
      </c>
    </row>
    <row r="104" spans="1:12">
      <c r="A104">
        <v>53130</v>
      </c>
      <c r="B104">
        <v>0.17499999999999999</v>
      </c>
      <c r="C104">
        <v>-1.2E-2</v>
      </c>
      <c r="D104">
        <v>9.44</v>
      </c>
      <c r="E104">
        <v>-7.0000000000000001E-3</v>
      </c>
      <c r="F104">
        <v>-8.5999999999999993E-2</v>
      </c>
      <c r="G104">
        <v>-6.0000000000000001E-3</v>
      </c>
      <c r="H104">
        <v>9.4420000000000002</v>
      </c>
      <c r="I104">
        <v>1882</v>
      </c>
      <c r="J104">
        <v>1.5169999999999999</v>
      </c>
      <c r="K104">
        <f t="shared" si="6"/>
        <v>51.81</v>
      </c>
      <c r="L104" t="str">
        <f t="shared" si="7"/>
        <v>45-60s Stationary</v>
      </c>
    </row>
    <row r="105" spans="1:12">
      <c r="A105">
        <v>53633</v>
      </c>
      <c r="B105">
        <v>0.17499999999999999</v>
      </c>
      <c r="C105">
        <v>-1.7000000000000001E-2</v>
      </c>
      <c r="D105">
        <v>9.452</v>
      </c>
      <c r="E105">
        <v>-8.0000000000000002E-3</v>
      </c>
      <c r="F105">
        <v>-8.5000000000000006E-2</v>
      </c>
      <c r="G105">
        <v>-8.0000000000000002E-3</v>
      </c>
      <c r="H105">
        <v>9.4540000000000006</v>
      </c>
      <c r="I105">
        <v>1890</v>
      </c>
      <c r="J105">
        <v>1.5229999999999999</v>
      </c>
      <c r="K105">
        <f t="shared" si="6"/>
        <v>52.313000000000002</v>
      </c>
      <c r="L105" t="str">
        <f t="shared" si="7"/>
        <v>45-60s Stationary</v>
      </c>
    </row>
    <row r="106" spans="1:12">
      <c r="A106">
        <v>54136</v>
      </c>
      <c r="B106">
        <v>0.17199999999999999</v>
      </c>
      <c r="C106">
        <v>5.0000000000000001E-3</v>
      </c>
      <c r="D106">
        <v>9.4670000000000005</v>
      </c>
      <c r="E106">
        <v>-7.0000000000000001E-3</v>
      </c>
      <c r="F106">
        <v>-8.5000000000000006E-2</v>
      </c>
      <c r="G106">
        <v>-7.0000000000000001E-3</v>
      </c>
      <c r="H106">
        <v>9.468</v>
      </c>
      <c r="I106">
        <v>1886</v>
      </c>
      <c r="J106">
        <v>1.52</v>
      </c>
      <c r="K106">
        <f t="shared" si="6"/>
        <v>52.816000000000003</v>
      </c>
      <c r="L106" t="str">
        <f t="shared" si="7"/>
        <v>45-60s Stationary</v>
      </c>
    </row>
    <row r="107" spans="1:12">
      <c r="A107">
        <v>54639</v>
      </c>
      <c r="B107">
        <v>0.17</v>
      </c>
      <c r="C107">
        <v>-1.4E-2</v>
      </c>
      <c r="D107">
        <v>9.4740000000000002</v>
      </c>
      <c r="E107">
        <v>-7.0000000000000001E-3</v>
      </c>
      <c r="F107">
        <v>-8.5999999999999993E-2</v>
      </c>
      <c r="G107">
        <v>-7.0000000000000001E-3</v>
      </c>
      <c r="H107">
        <v>9.4749999999999996</v>
      </c>
      <c r="I107">
        <v>1887</v>
      </c>
      <c r="J107">
        <v>1.5209999999999999</v>
      </c>
      <c r="K107">
        <f t="shared" si="6"/>
        <v>53.319000000000003</v>
      </c>
      <c r="L107" t="str">
        <f t="shared" si="7"/>
        <v>45-60s Stationary</v>
      </c>
    </row>
    <row r="108" spans="1:12">
      <c r="A108">
        <v>55142</v>
      </c>
      <c r="B108">
        <v>0.16300000000000001</v>
      </c>
      <c r="C108">
        <v>-2.4E-2</v>
      </c>
      <c r="D108">
        <v>9.4670000000000005</v>
      </c>
      <c r="E108">
        <v>-7.0000000000000001E-3</v>
      </c>
      <c r="F108">
        <v>-8.5000000000000006E-2</v>
      </c>
      <c r="G108">
        <v>-6.0000000000000001E-3</v>
      </c>
      <c r="H108">
        <v>9.468</v>
      </c>
      <c r="I108">
        <v>1887</v>
      </c>
      <c r="J108">
        <v>1.5209999999999999</v>
      </c>
      <c r="K108">
        <f t="shared" si="6"/>
        <v>53.822000000000003</v>
      </c>
      <c r="L108" t="str">
        <f t="shared" si="7"/>
        <v>45-60s Stationary</v>
      </c>
    </row>
    <row r="109" spans="1:12">
      <c r="A109">
        <v>55645</v>
      </c>
      <c r="B109">
        <v>0.187</v>
      </c>
      <c r="C109">
        <v>-2.1999999999999999E-2</v>
      </c>
      <c r="D109">
        <v>9.4789999999999992</v>
      </c>
      <c r="E109">
        <v>-7.0000000000000001E-3</v>
      </c>
      <c r="F109">
        <v>-8.5999999999999993E-2</v>
      </c>
      <c r="G109">
        <v>-6.0000000000000001E-3</v>
      </c>
      <c r="H109">
        <v>9.4809999999999999</v>
      </c>
      <c r="I109">
        <v>1879</v>
      </c>
      <c r="J109">
        <v>1.514</v>
      </c>
      <c r="K109">
        <f t="shared" si="6"/>
        <v>54.325000000000003</v>
      </c>
      <c r="L109" t="str">
        <f t="shared" si="7"/>
        <v>45-60s Stationary</v>
      </c>
    </row>
    <row r="110" spans="1:12">
      <c r="A110">
        <v>56148</v>
      </c>
      <c r="B110">
        <v>0.182</v>
      </c>
      <c r="C110">
        <v>-7.0000000000000001E-3</v>
      </c>
      <c r="D110">
        <v>9.5120000000000005</v>
      </c>
      <c r="E110">
        <v>-8.0000000000000002E-3</v>
      </c>
      <c r="F110">
        <v>-8.5000000000000006E-2</v>
      </c>
      <c r="G110">
        <v>-6.0000000000000001E-3</v>
      </c>
      <c r="H110">
        <v>9.5139999999999993</v>
      </c>
      <c r="I110">
        <v>1891</v>
      </c>
      <c r="J110">
        <v>1.524</v>
      </c>
      <c r="K110">
        <f t="shared" si="6"/>
        <v>54.828000000000003</v>
      </c>
      <c r="L110" t="str">
        <f t="shared" si="7"/>
        <v>45-60s Stationary</v>
      </c>
    </row>
    <row r="111" spans="1:12">
      <c r="A111">
        <v>56651</v>
      </c>
      <c r="B111">
        <v>0.16800000000000001</v>
      </c>
      <c r="C111">
        <v>-0.01</v>
      </c>
      <c r="D111">
        <v>9.452</v>
      </c>
      <c r="E111">
        <v>-7.0000000000000001E-3</v>
      </c>
      <c r="F111">
        <v>-8.5000000000000006E-2</v>
      </c>
      <c r="G111">
        <v>-6.0000000000000001E-3</v>
      </c>
      <c r="H111">
        <v>9.4540000000000006</v>
      </c>
      <c r="I111">
        <v>1890</v>
      </c>
      <c r="J111">
        <v>1.5229999999999999</v>
      </c>
      <c r="K111">
        <f t="shared" si="6"/>
        <v>55.331000000000003</v>
      </c>
      <c r="L111" t="str">
        <f t="shared" si="7"/>
        <v>45-60s Stationary</v>
      </c>
    </row>
    <row r="112" spans="1:12">
      <c r="A112">
        <v>57154</v>
      </c>
      <c r="B112">
        <v>0.16800000000000001</v>
      </c>
      <c r="C112">
        <v>-1.4E-2</v>
      </c>
      <c r="D112">
        <v>9.452</v>
      </c>
      <c r="E112">
        <v>-7.0000000000000001E-3</v>
      </c>
      <c r="F112">
        <v>-8.5000000000000006E-2</v>
      </c>
      <c r="G112">
        <v>-6.0000000000000001E-3</v>
      </c>
      <c r="H112">
        <v>9.4540000000000006</v>
      </c>
      <c r="I112">
        <v>1875</v>
      </c>
      <c r="J112">
        <v>1.5109999999999999</v>
      </c>
      <c r="K112">
        <f t="shared" si="6"/>
        <v>55.834000000000003</v>
      </c>
      <c r="L112" t="str">
        <f t="shared" si="7"/>
        <v>45-60s Stationary</v>
      </c>
    </row>
    <row r="113" spans="1:12">
      <c r="A113">
        <v>57657</v>
      </c>
      <c r="B113">
        <v>0.17699999999999999</v>
      </c>
      <c r="C113">
        <v>-1.7000000000000001E-2</v>
      </c>
      <c r="D113">
        <v>9.4619999999999997</v>
      </c>
      <c r="E113">
        <v>-7.0000000000000001E-3</v>
      </c>
      <c r="F113">
        <v>-8.5000000000000006E-2</v>
      </c>
      <c r="G113">
        <v>-6.0000000000000001E-3</v>
      </c>
      <c r="H113">
        <v>9.4640000000000004</v>
      </c>
      <c r="I113">
        <v>1878</v>
      </c>
      <c r="J113">
        <v>1.5129999999999999</v>
      </c>
      <c r="K113">
        <f t="shared" si="6"/>
        <v>56.337000000000003</v>
      </c>
      <c r="L113" t="str">
        <f t="shared" si="7"/>
        <v>45-60s Stationary</v>
      </c>
    </row>
    <row r="114" spans="1:12">
      <c r="A114">
        <v>58160</v>
      </c>
      <c r="B114">
        <v>0.189</v>
      </c>
      <c r="C114">
        <v>-1.4E-2</v>
      </c>
      <c r="D114">
        <v>9.4570000000000007</v>
      </c>
      <c r="E114">
        <v>-7.0000000000000001E-3</v>
      </c>
      <c r="F114">
        <v>-8.5999999999999993E-2</v>
      </c>
      <c r="G114">
        <v>-6.0000000000000001E-3</v>
      </c>
      <c r="H114">
        <v>9.4589999999999996</v>
      </c>
      <c r="I114">
        <v>1884</v>
      </c>
      <c r="J114">
        <v>1.518</v>
      </c>
      <c r="K114">
        <f t="shared" si="6"/>
        <v>56.84</v>
      </c>
      <c r="L114" t="str">
        <f t="shared" si="7"/>
        <v>45-60s Stationary</v>
      </c>
    </row>
    <row r="115" spans="1:12">
      <c r="A115">
        <v>58663</v>
      </c>
      <c r="B115">
        <v>0.18</v>
      </c>
      <c r="C115">
        <v>-1.2E-2</v>
      </c>
      <c r="D115">
        <v>9.4710000000000001</v>
      </c>
      <c r="E115">
        <v>-7.0000000000000001E-3</v>
      </c>
      <c r="F115">
        <v>-8.5999999999999993E-2</v>
      </c>
      <c r="G115">
        <v>-7.0000000000000001E-3</v>
      </c>
      <c r="H115">
        <v>9.4730000000000008</v>
      </c>
      <c r="I115">
        <v>1877</v>
      </c>
      <c r="J115">
        <v>1.5129999999999999</v>
      </c>
      <c r="K115">
        <f t="shared" si="6"/>
        <v>57.343000000000004</v>
      </c>
      <c r="L115" t="str">
        <f t="shared" si="7"/>
        <v>45-60s Stationary</v>
      </c>
    </row>
    <row r="116" spans="1:12">
      <c r="A116">
        <v>59166</v>
      </c>
      <c r="B116">
        <v>0.187</v>
      </c>
      <c r="C116">
        <v>-1.4E-2</v>
      </c>
      <c r="D116">
        <v>9.4309999999999992</v>
      </c>
      <c r="E116">
        <v>-7.0000000000000001E-3</v>
      </c>
      <c r="F116">
        <v>-8.5000000000000006E-2</v>
      </c>
      <c r="G116">
        <v>-6.0000000000000001E-3</v>
      </c>
      <c r="H116">
        <v>9.4329999999999998</v>
      </c>
      <c r="I116">
        <v>1883</v>
      </c>
      <c r="J116">
        <v>1.5169999999999999</v>
      </c>
      <c r="K116">
        <f t="shared" si="6"/>
        <v>57.845999999999997</v>
      </c>
      <c r="L116" t="str">
        <f t="shared" si="7"/>
        <v>45-60s Stationary</v>
      </c>
    </row>
    <row r="117" spans="1:12">
      <c r="A117">
        <v>59669</v>
      </c>
      <c r="B117">
        <v>0.182</v>
      </c>
      <c r="C117">
        <v>0</v>
      </c>
      <c r="D117">
        <v>9.4740000000000002</v>
      </c>
      <c r="E117">
        <v>-6.0000000000000001E-3</v>
      </c>
      <c r="F117">
        <v>-8.5000000000000006E-2</v>
      </c>
      <c r="G117">
        <v>-6.0000000000000001E-3</v>
      </c>
      <c r="H117">
        <v>9.4760000000000009</v>
      </c>
      <c r="I117">
        <v>1883</v>
      </c>
      <c r="J117">
        <v>1.5169999999999999</v>
      </c>
      <c r="K117">
        <f t="shared" si="6"/>
        <v>58.348999999999997</v>
      </c>
      <c r="L117" t="str">
        <f t="shared" si="7"/>
        <v>45-60s Stationary</v>
      </c>
    </row>
    <row r="118" spans="1:12">
      <c r="A118">
        <v>60172</v>
      </c>
      <c r="B118">
        <v>0.19400000000000001</v>
      </c>
      <c r="C118">
        <v>-1.4E-2</v>
      </c>
      <c r="D118">
        <v>9.4670000000000005</v>
      </c>
      <c r="E118">
        <v>-7.0000000000000001E-3</v>
      </c>
      <c r="F118">
        <v>-8.5999999999999993E-2</v>
      </c>
      <c r="G118">
        <v>-7.0000000000000001E-3</v>
      </c>
      <c r="H118">
        <v>9.4689999999999994</v>
      </c>
      <c r="I118">
        <v>1885</v>
      </c>
      <c r="J118">
        <v>1.5189999999999999</v>
      </c>
      <c r="K118">
        <f t="shared" si="6"/>
        <v>58.851999999999997</v>
      </c>
      <c r="L118" t="str">
        <f t="shared" si="7"/>
        <v>45-60s Stationary</v>
      </c>
    </row>
    <row r="119" spans="1:12">
      <c r="A119">
        <v>60675</v>
      </c>
      <c r="B119">
        <v>0.182</v>
      </c>
      <c r="C119">
        <v>-0.01</v>
      </c>
      <c r="D119">
        <v>9.4710000000000001</v>
      </c>
      <c r="E119">
        <v>-7.0000000000000001E-3</v>
      </c>
      <c r="F119">
        <v>-8.5999999999999993E-2</v>
      </c>
      <c r="G119">
        <v>-7.0000000000000001E-3</v>
      </c>
      <c r="H119">
        <v>9.4730000000000008</v>
      </c>
      <c r="I119">
        <v>1882</v>
      </c>
      <c r="J119">
        <v>1.5169999999999999</v>
      </c>
      <c r="K119">
        <f t="shared" si="6"/>
        <v>59.354999999999997</v>
      </c>
      <c r="L119" t="str">
        <f t="shared" si="7"/>
        <v>45-60s Stationary</v>
      </c>
    </row>
    <row r="120" spans="1:12">
      <c r="A120">
        <v>61178</v>
      </c>
      <c r="B120">
        <v>0.16300000000000001</v>
      </c>
      <c r="C120">
        <v>-1.4E-2</v>
      </c>
      <c r="D120">
        <v>9.5</v>
      </c>
      <c r="E120">
        <v>-7.0000000000000001E-3</v>
      </c>
      <c r="F120">
        <v>-8.5000000000000006E-2</v>
      </c>
      <c r="G120">
        <v>-7.0000000000000001E-3</v>
      </c>
      <c r="H120">
        <v>9.5020000000000007</v>
      </c>
      <c r="I120">
        <v>1879</v>
      </c>
      <c r="J120">
        <v>1.514</v>
      </c>
      <c r="K120">
        <f t="shared" si="6"/>
        <v>59.857999999999997</v>
      </c>
      <c r="L120" t="str">
        <f t="shared" si="7"/>
        <v>45-60s Stationary</v>
      </c>
    </row>
    <row r="121" spans="1:12">
      <c r="A121">
        <v>61681</v>
      </c>
      <c r="B121">
        <v>0.17499999999999999</v>
      </c>
      <c r="C121">
        <v>-1.2E-2</v>
      </c>
      <c r="D121">
        <v>9.4589999999999996</v>
      </c>
      <c r="E121">
        <v>-7.0000000000000001E-3</v>
      </c>
      <c r="F121">
        <v>-8.5000000000000006E-2</v>
      </c>
      <c r="G121">
        <v>-7.0000000000000001E-3</v>
      </c>
      <c r="H121">
        <v>9.4610000000000003</v>
      </c>
      <c r="I121">
        <v>1881</v>
      </c>
      <c r="J121">
        <v>1.516</v>
      </c>
      <c r="K121">
        <f t="shared" si="6"/>
        <v>60.360999999999997</v>
      </c>
      <c r="L121" t="str">
        <f t="shared" si="7"/>
        <v>45-60s Stationary</v>
      </c>
    </row>
    <row r="122" spans="1:12">
      <c r="A122">
        <v>62184</v>
      </c>
      <c r="B122">
        <v>0.17699999999999999</v>
      </c>
      <c r="C122">
        <v>-1.9E-2</v>
      </c>
      <c r="D122">
        <v>9.4909999999999997</v>
      </c>
      <c r="E122">
        <v>-7.0000000000000001E-3</v>
      </c>
      <c r="F122">
        <v>-8.5999999999999993E-2</v>
      </c>
      <c r="G122">
        <v>-7.0000000000000001E-3</v>
      </c>
      <c r="H122">
        <v>9.4920000000000009</v>
      </c>
      <c r="I122">
        <v>1889</v>
      </c>
      <c r="J122">
        <v>1.522</v>
      </c>
      <c r="K122">
        <f t="shared" si="6"/>
        <v>60.863999999999997</v>
      </c>
      <c r="L122" t="str">
        <f t="shared" si="7"/>
        <v>45-60s Stationary</v>
      </c>
    </row>
    <row r="123" spans="1:12">
      <c r="A123">
        <v>62687</v>
      </c>
      <c r="B123">
        <v>0.192</v>
      </c>
      <c r="C123">
        <v>-7.0000000000000001E-3</v>
      </c>
      <c r="D123">
        <v>9.452</v>
      </c>
      <c r="E123">
        <v>-7.0000000000000001E-3</v>
      </c>
      <c r="F123">
        <v>-8.5000000000000006E-2</v>
      </c>
      <c r="G123">
        <v>-7.0000000000000001E-3</v>
      </c>
      <c r="H123">
        <v>9.4540000000000006</v>
      </c>
      <c r="I123">
        <v>1888</v>
      </c>
      <c r="J123">
        <v>1.5209999999999999</v>
      </c>
      <c r="K123">
        <f t="shared" si="6"/>
        <v>61.366999999999997</v>
      </c>
      <c r="L123" t="str">
        <f t="shared" si="7"/>
        <v>45-60s Stationary</v>
      </c>
    </row>
    <row r="124" spans="1:12">
      <c r="A124">
        <v>63190</v>
      </c>
      <c r="B124">
        <v>0.19400000000000001</v>
      </c>
      <c r="C124">
        <v>-2.4E-2</v>
      </c>
      <c r="D124">
        <v>9.4879999999999995</v>
      </c>
      <c r="E124">
        <v>-8.0000000000000002E-3</v>
      </c>
      <c r="F124">
        <v>-8.5000000000000006E-2</v>
      </c>
      <c r="G124">
        <v>-7.0000000000000001E-3</v>
      </c>
      <c r="H124">
        <v>9.49</v>
      </c>
      <c r="I124">
        <v>1893</v>
      </c>
      <c r="J124">
        <v>1.5249999999999999</v>
      </c>
      <c r="K124">
        <f t="shared" si="6"/>
        <v>61.87</v>
      </c>
      <c r="L124" t="str">
        <f t="shared" si="7"/>
        <v>45-60s Stationary</v>
      </c>
    </row>
  </sheetData>
  <phoneticPr fontId="5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3.5"/>
  <cols>
    <col min="1" max="1" width="14.5625" customWidth="1"/>
    <col min="2" max="2" width="5.125" customWidth="1"/>
    <col min="3" max="3" width="4.3125" customWidth="1"/>
    <col min="4" max="4" width="6.75" customWidth="1"/>
    <col min="5" max="5" width="16.8125" customWidth="1"/>
    <col min="6" max="6" width="17.375" customWidth="1"/>
    <col min="7" max="7" width="15.875" customWidth="1"/>
  </cols>
  <sheetData>
    <row r="1" spans="1:6" ht="11" customHeight="1">
      <c r="A1" s="6" t="s">
        <v>12</v>
      </c>
      <c r="B1" s="7"/>
      <c r="C1" s="7"/>
      <c r="D1" s="7"/>
      <c r="E1" s="7"/>
      <c r="F1" s="7"/>
    </row>
    <row r="3" spans="1:6" ht="13.9">
      <c r="A3" s="1" t="s">
        <v>13</v>
      </c>
      <c r="B3" s="1" t="s">
        <v>14</v>
      </c>
      <c r="C3" s="1" t="s">
        <v>15</v>
      </c>
      <c r="D3" s="1"/>
      <c r="E3" s="1" t="s">
        <v>16</v>
      </c>
      <c r="F3" s="1"/>
    </row>
    <row r="4" spans="1:6" ht="40.9">
      <c r="A4" s="4" t="s">
        <v>17</v>
      </c>
      <c r="B4" s="2">
        <f>COUNTA(Integrated_Data!A2:A124)</f>
        <v>123</v>
      </c>
      <c r="C4" t="s">
        <v>18</v>
      </c>
      <c r="E4" s="5" t="s">
        <v>19</v>
      </c>
    </row>
    <row r="5" spans="1:6" ht="27.4">
      <c r="A5" s="4" t="s">
        <v>20</v>
      </c>
      <c r="B5" s="2">
        <f>MIN(Integrated_Data!A2:A124)</f>
        <v>1320</v>
      </c>
      <c r="C5" t="s">
        <v>21</v>
      </c>
      <c r="E5" s="5" t="s">
        <v>22</v>
      </c>
    </row>
    <row r="6" spans="1:6" ht="27.4">
      <c r="A6" s="4" t="s">
        <v>23</v>
      </c>
      <c r="B6" s="2">
        <f>MAX(Integrated_Data!A2:A124)</f>
        <v>63190</v>
      </c>
      <c r="C6" t="s">
        <v>21</v>
      </c>
      <c r="E6" s="5" t="s">
        <v>24</v>
      </c>
    </row>
    <row r="7" spans="1:6" ht="54.4">
      <c r="A7" s="4" t="s">
        <v>25</v>
      </c>
      <c r="B7" s="2" t="e">
        <f>(B4-B3)/1000</f>
        <v>#VALUE!</v>
      </c>
      <c r="C7" t="s">
        <v>26</v>
      </c>
      <c r="E7" s="5" t="s">
        <v>27</v>
      </c>
    </row>
    <row r="8" spans="1:6" ht="40.9">
      <c r="A8" s="4" t="s">
        <v>28</v>
      </c>
      <c r="B8" s="2">
        <f>B5/(B2-1)</f>
        <v>-1320</v>
      </c>
      <c r="C8" t="s">
        <v>29</v>
      </c>
      <c r="E8" s="5" t="s">
        <v>30</v>
      </c>
    </row>
    <row r="9" spans="1:6" ht="94.9">
      <c r="A9" s="4" t="s">
        <v>31</v>
      </c>
      <c r="B9" s="2">
        <f>MIN(Integrated_Data!H2:H124)</f>
        <v>5.093</v>
      </c>
      <c r="C9" t="s">
        <v>32</v>
      </c>
      <c r="E9" s="5" t="s">
        <v>33</v>
      </c>
    </row>
    <row r="10" spans="1:6" ht="40.9">
      <c r="A10" s="4" t="s">
        <v>34</v>
      </c>
      <c r="B10" s="2">
        <f>MAX(Integrated_Data!H2:H124)</f>
        <v>15.619</v>
      </c>
      <c r="C10" t="s">
        <v>32</v>
      </c>
      <c r="E10" s="5" t="s">
        <v>35</v>
      </c>
    </row>
    <row r="11" spans="1:6" ht="40.9">
      <c r="A11" s="4" t="s">
        <v>36</v>
      </c>
      <c r="B11" s="2">
        <f>AVERAGE(Integrated_Data!H2:H124)</f>
        <v>9.5967642276422715</v>
      </c>
      <c r="C11" t="s">
        <v>32</v>
      </c>
      <c r="E11" s="5" t="s">
        <v>37</v>
      </c>
    </row>
    <row r="12" spans="1:6" ht="67.900000000000006">
      <c r="A12" s="4" t="s">
        <v>38</v>
      </c>
      <c r="B12" s="2">
        <f>MIN(Integrated_Data!J2:J124)</f>
        <v>1.508</v>
      </c>
      <c r="C12" t="s">
        <v>39</v>
      </c>
      <c r="E12" s="5" t="s">
        <v>40</v>
      </c>
    </row>
    <row r="13" spans="1:6" ht="40.9">
      <c r="A13" s="4" t="s">
        <v>41</v>
      </c>
      <c r="B13" s="2">
        <f>MAX(Integrated_Data!J2:J124)</f>
        <v>1.53</v>
      </c>
      <c r="C13" t="s">
        <v>39</v>
      </c>
      <c r="E13" s="5" t="s">
        <v>42</v>
      </c>
    </row>
    <row r="14" spans="1:6" ht="40.9">
      <c r="A14" s="4" t="s">
        <v>43</v>
      </c>
      <c r="B14" s="2">
        <f>AVERAGE(Integrated_Data!J2:J124)</f>
        <v>1.5185284552845517</v>
      </c>
      <c r="C14" t="s">
        <v>39</v>
      </c>
      <c r="E14" s="5" t="s">
        <v>44</v>
      </c>
    </row>
    <row r="15" spans="1:6" ht="54.4">
      <c r="A15" s="4" t="s">
        <v>45</v>
      </c>
      <c r="B15" s="2">
        <f>B11-B10</f>
        <v>-6.0222357723577282</v>
      </c>
      <c r="C15" t="s">
        <v>39</v>
      </c>
      <c r="E15" s="5" t="s">
        <v>46</v>
      </c>
    </row>
    <row r="18" spans="1:7" ht="13.9">
      <c r="A18" s="1" t="s">
        <v>47</v>
      </c>
      <c r="B18" s="1" t="s">
        <v>48</v>
      </c>
      <c r="C18" s="1" t="s">
        <v>49</v>
      </c>
      <c r="D18" s="1" t="s">
        <v>50</v>
      </c>
      <c r="E18" s="1" t="s">
        <v>51</v>
      </c>
      <c r="F18" s="1" t="s">
        <v>52</v>
      </c>
      <c r="G18" s="1" t="s">
        <v>53</v>
      </c>
    </row>
    <row r="19" spans="1:7">
      <c r="A19" t="s">
        <v>54</v>
      </c>
      <c r="B19" s="3">
        <v>0</v>
      </c>
      <c r="C19" s="3">
        <v>15</v>
      </c>
      <c r="D19" s="3">
        <f>COUNTIF(Integrated_Data!L2:L124,A19)</f>
        <v>30</v>
      </c>
      <c r="E19" s="2">
        <f>SUMIF(Integrated_Data!L2:L124,A19,Integrated_Data!H2:H124)/D19</f>
        <v>9.4722000000000026</v>
      </c>
      <c r="F19" s="2" t="e">
        <f ca="1">_xludf.MAXIFS(Integrated_Data!H2:H124,Integrated_Data!L2:L124,A19)</f>
        <v>#NAME?</v>
      </c>
      <c r="G19" s="2">
        <f>SUMIF(Integrated_Data!L2:L124,A19,Integrated_Data!J2:J124)/D19</f>
        <v>1.5185666666666662</v>
      </c>
    </row>
    <row r="20" spans="1:7">
      <c r="A20" t="s">
        <v>55</v>
      </c>
      <c r="B20" s="3">
        <v>15</v>
      </c>
      <c r="C20" s="3">
        <v>30</v>
      </c>
      <c r="D20" s="3">
        <f>COUNTIF(Integrated_Data!L2:L124,A20)</f>
        <v>30</v>
      </c>
      <c r="E20" s="2">
        <f>SUMIF(Integrated_Data!L2:L124,A20,Integrated_Data!H2:H124)/D20</f>
        <v>10.4009</v>
      </c>
      <c r="F20" s="2" t="e">
        <f ca="1">_xludf.MAXIFS(Integrated_Data!H2:H124,Integrated_Data!L2:L124,A20)</f>
        <v>#NAME?</v>
      </c>
      <c r="G20" s="2">
        <f>SUMIF(Integrated_Data!L2:L124,A20,Integrated_Data!J2:J124)/D20</f>
        <v>1.5183333333333335</v>
      </c>
    </row>
    <row r="21" spans="1:7">
      <c r="A21" t="s">
        <v>56</v>
      </c>
      <c r="B21" s="3">
        <v>30</v>
      </c>
      <c r="C21" s="3">
        <v>45</v>
      </c>
      <c r="D21" s="3">
        <f>COUNTIF(Integrated_Data!L2:L124,A21)</f>
        <v>29</v>
      </c>
      <c r="E21" s="2">
        <f>SUMIF(Integrated_Data!L2:L124,A21,Integrated_Data!H2:H124)/D21</f>
        <v>9.3693103448275874</v>
      </c>
      <c r="F21" s="2" t="e">
        <f ca="1">_xludf.MAXIFS(Integrated_Data!H2:H124,Integrated_Data!L2:L124,A21)</f>
        <v>#NAME?</v>
      </c>
      <c r="G21" s="2">
        <f>SUMIF(Integrated_Data!L2:L124,A21,Integrated_Data!J2:J124)/D21</f>
        <v>1.5194482758620684</v>
      </c>
    </row>
    <row r="22" spans="1:7">
      <c r="A22" t="s">
        <v>57</v>
      </c>
      <c r="B22" s="3">
        <v>45</v>
      </c>
      <c r="C22" s="3">
        <v>65</v>
      </c>
      <c r="D22" s="3">
        <f>COUNTIF(Integrated_Data!L2:L124,A22)</f>
        <v>34</v>
      </c>
      <c r="E22" s="2">
        <f>SUMIF(Integrated_Data!L2:L124,A22,Integrated_Data!H2:H124)/D22</f>
        <v>9.1911470588235318</v>
      </c>
      <c r="F22" s="2" t="e">
        <f ca="1">_xludf.MAXIFS(Integrated_Data!H2:H124,Integrated_Data!L2:L124,A22)</f>
        <v>#NAME?</v>
      </c>
      <c r="G22" s="2">
        <f>SUMIF(Integrated_Data!L2:L124,A22,Integrated_Data!J2:J124)/D22</f>
        <v>1.5178823529411767</v>
      </c>
    </row>
    <row r="25" spans="1:7" ht="13.9">
      <c r="A25" s="8" t="s">
        <v>58</v>
      </c>
      <c r="B25" s="7"/>
      <c r="C25" s="7"/>
      <c r="D25" s="7"/>
      <c r="E25" s="7"/>
      <c r="F25" s="7"/>
      <c r="G25" s="7"/>
    </row>
    <row r="26" spans="1:7" ht="29" customHeight="1">
      <c r="A26" s="9" t="s">
        <v>59</v>
      </c>
      <c r="B26" s="7"/>
      <c r="C26" s="7"/>
      <c r="D26" s="7"/>
      <c r="E26" s="7"/>
      <c r="F26" s="7"/>
      <c r="G26" s="7"/>
    </row>
    <row r="27" spans="1:7">
      <c r="A27" s="7"/>
      <c r="B27" s="7"/>
      <c r="C27" s="7"/>
      <c r="D27" s="7"/>
      <c r="E27" s="7"/>
      <c r="F27" s="7"/>
      <c r="G27" s="7"/>
    </row>
    <row r="28" spans="1:7">
      <c r="A28" s="7"/>
      <c r="B28" s="7"/>
      <c r="C28" s="7"/>
      <c r="D28" s="7"/>
      <c r="E28" s="7"/>
      <c r="F28" s="7"/>
      <c r="G28" s="7"/>
    </row>
  </sheetData>
  <mergeCells count="3">
    <mergeCell ref="A1:F1"/>
    <mergeCell ref="A25:G25"/>
    <mergeCell ref="A26:G28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4"/>
  <sheetViews>
    <sheetView workbookViewId="0"/>
  </sheetViews>
  <sheetFormatPr defaultRowHeight="13.5"/>
  <cols>
    <col min="1" max="1" width="5.5" customWidth="1"/>
    <col min="2" max="2" width="13.875" customWidth="1"/>
    <col min="3" max="3" width="16.3125" customWidth="1"/>
    <col min="4" max="4" width="14.5625" customWidth="1"/>
  </cols>
  <sheetData>
    <row r="1" spans="1:4" ht="11" customHeight="1">
      <c r="A1" s="1" t="s">
        <v>10</v>
      </c>
      <c r="B1" s="1" t="s">
        <v>7</v>
      </c>
      <c r="C1" s="1" t="s">
        <v>9</v>
      </c>
      <c r="D1" s="1" t="s">
        <v>11</v>
      </c>
    </row>
    <row r="2" spans="1:4">
      <c r="A2" s="2">
        <f>Integrated_Data!K2</f>
        <v>0</v>
      </c>
      <c r="B2" s="2">
        <f>Integrated_Data!H2</f>
        <v>9.5220000000000002</v>
      </c>
      <c r="C2" s="2">
        <f>Integrated_Data!J2</f>
        <v>1.516</v>
      </c>
      <c r="D2" t="str">
        <f>Integrated_Data!L2</f>
        <v>0-15s Stationary</v>
      </c>
    </row>
    <row r="3" spans="1:4">
      <c r="A3" s="2">
        <f>Integrated_Data!K3</f>
        <v>0.503</v>
      </c>
      <c r="B3" s="2">
        <f>Integrated_Data!H3</f>
        <v>9.4619999999999997</v>
      </c>
      <c r="C3" s="2">
        <f>Integrated_Data!J3</f>
        <v>1.514</v>
      </c>
      <c r="D3" t="str">
        <f>Integrated_Data!L3</f>
        <v>0-15s Stationary</v>
      </c>
    </row>
    <row r="4" spans="1:4">
      <c r="A4" s="2">
        <f>Integrated_Data!K4</f>
        <v>1.006</v>
      </c>
      <c r="B4" s="2">
        <f>Integrated_Data!H4</f>
        <v>9.4930000000000003</v>
      </c>
      <c r="C4" s="2">
        <f>Integrated_Data!J4</f>
        <v>1.524</v>
      </c>
      <c r="D4" t="str">
        <f>Integrated_Data!L4</f>
        <v>0-15s Stationary</v>
      </c>
    </row>
    <row r="5" spans="1:4">
      <c r="A5" s="2">
        <f>Integrated_Data!K5</f>
        <v>1.5089999999999999</v>
      </c>
      <c r="B5" s="2">
        <f>Integrated_Data!H5</f>
        <v>9.4860000000000007</v>
      </c>
      <c r="C5" s="2">
        <f>Integrated_Data!J5</f>
        <v>1.5209999999999999</v>
      </c>
      <c r="D5" t="str">
        <f>Integrated_Data!L5</f>
        <v>0-15s Stationary</v>
      </c>
    </row>
    <row r="6" spans="1:4">
      <c r="A6" s="2">
        <f>Integrated_Data!K6</f>
        <v>2.012</v>
      </c>
      <c r="B6" s="2">
        <f>Integrated_Data!H6</f>
        <v>9.484</v>
      </c>
      <c r="C6" s="2">
        <f>Integrated_Data!J6</f>
        <v>1.5209999999999999</v>
      </c>
      <c r="D6" t="str">
        <f>Integrated_Data!L6</f>
        <v>0-15s Stationary</v>
      </c>
    </row>
    <row r="7" spans="1:4">
      <c r="A7" s="2">
        <f>Integrated_Data!K7</f>
        <v>2.5150000000000001</v>
      </c>
      <c r="B7" s="2">
        <f>Integrated_Data!H7</f>
        <v>9.4740000000000002</v>
      </c>
      <c r="C7" s="2">
        <f>Integrated_Data!J7</f>
        <v>1.516</v>
      </c>
      <c r="D7" t="str">
        <f>Integrated_Data!L7</f>
        <v>0-15s Stationary</v>
      </c>
    </row>
    <row r="8" spans="1:4">
      <c r="A8" s="2">
        <f>Integrated_Data!K8</f>
        <v>3.0179999999999998</v>
      </c>
      <c r="B8" s="2">
        <f>Integrated_Data!H8</f>
        <v>9.4789999999999992</v>
      </c>
      <c r="C8" s="2">
        <f>Integrated_Data!J8</f>
        <v>1.5169999999999999</v>
      </c>
      <c r="D8" t="str">
        <f>Integrated_Data!L8</f>
        <v>0-15s Stationary</v>
      </c>
    </row>
    <row r="9" spans="1:4">
      <c r="A9" s="2">
        <f>Integrated_Data!K9</f>
        <v>3.5209999999999999</v>
      </c>
      <c r="B9" s="2">
        <f>Integrated_Data!H9</f>
        <v>9.4689999999999994</v>
      </c>
      <c r="C9" s="2">
        <f>Integrated_Data!J9</f>
        <v>1.5249999999999999</v>
      </c>
      <c r="D9" t="str">
        <f>Integrated_Data!L9</f>
        <v>0-15s Stationary</v>
      </c>
    </row>
    <row r="10" spans="1:4">
      <c r="A10" s="2">
        <f>Integrated_Data!K10</f>
        <v>4.024</v>
      </c>
      <c r="B10" s="2">
        <f>Integrated_Data!H10</f>
        <v>9.4770000000000003</v>
      </c>
      <c r="C10" s="2">
        <f>Integrated_Data!J10</f>
        <v>1.516</v>
      </c>
      <c r="D10" t="str">
        <f>Integrated_Data!L10</f>
        <v>0-15s Stationary</v>
      </c>
    </row>
    <row r="11" spans="1:4">
      <c r="A11" s="2">
        <f>Integrated_Data!K11</f>
        <v>4.5270000000000001</v>
      </c>
      <c r="B11" s="2">
        <f>Integrated_Data!H11</f>
        <v>9.4830000000000005</v>
      </c>
      <c r="C11" s="2">
        <f>Integrated_Data!J11</f>
        <v>1.5189999999999999</v>
      </c>
      <c r="D11" t="str">
        <f>Integrated_Data!L11</f>
        <v>0-15s Stationary</v>
      </c>
    </row>
    <row r="12" spans="1:4">
      <c r="A12" s="2">
        <f>Integrated_Data!K12</f>
        <v>5.03</v>
      </c>
      <c r="B12" s="2">
        <f>Integrated_Data!H12</f>
        <v>9.4740000000000002</v>
      </c>
      <c r="C12" s="2">
        <f>Integrated_Data!J12</f>
        <v>1.5169999999999999</v>
      </c>
      <c r="D12" t="str">
        <f>Integrated_Data!L12</f>
        <v>0-15s Stationary</v>
      </c>
    </row>
    <row r="13" spans="1:4">
      <c r="A13" s="2">
        <f>Integrated_Data!K13</f>
        <v>5.5330000000000004</v>
      </c>
      <c r="B13" s="2">
        <f>Integrated_Data!H13</f>
        <v>9.4600000000000009</v>
      </c>
      <c r="C13" s="2">
        <f>Integrated_Data!J13</f>
        <v>1.5169999999999999</v>
      </c>
      <c r="D13" t="str">
        <f>Integrated_Data!L13</f>
        <v>0-15s Stationary</v>
      </c>
    </row>
    <row r="14" spans="1:4">
      <c r="A14" s="2">
        <f>Integrated_Data!K14</f>
        <v>6.0359999999999996</v>
      </c>
      <c r="B14" s="2">
        <f>Integrated_Data!H14</f>
        <v>9.5380000000000003</v>
      </c>
      <c r="C14" s="2">
        <f>Integrated_Data!J14</f>
        <v>1.522</v>
      </c>
      <c r="D14" t="str">
        <f>Integrated_Data!L14</f>
        <v>0-15s Stationary</v>
      </c>
    </row>
    <row r="15" spans="1:4">
      <c r="A15" s="2">
        <f>Integrated_Data!K15</f>
        <v>6.5389999999999997</v>
      </c>
      <c r="B15" s="2">
        <f>Integrated_Data!H15</f>
        <v>9.4710000000000001</v>
      </c>
      <c r="C15" s="2">
        <f>Integrated_Data!J15</f>
        <v>1.5209999999999999</v>
      </c>
      <c r="D15" t="str">
        <f>Integrated_Data!L15</f>
        <v>0-15s Stationary</v>
      </c>
    </row>
    <row r="16" spans="1:4">
      <c r="A16" s="2">
        <f>Integrated_Data!K16</f>
        <v>7.0419999999999998</v>
      </c>
      <c r="B16" s="2">
        <f>Integrated_Data!H16</f>
        <v>9.4740000000000002</v>
      </c>
      <c r="C16" s="2">
        <f>Integrated_Data!J16</f>
        <v>1.5109999999999999</v>
      </c>
      <c r="D16" t="str">
        <f>Integrated_Data!L16</f>
        <v>0-15s Stationary</v>
      </c>
    </row>
    <row r="17" spans="1:4">
      <c r="A17" s="2">
        <f>Integrated_Data!K17</f>
        <v>7.5449999999999999</v>
      </c>
      <c r="B17" s="2">
        <f>Integrated_Data!H17</f>
        <v>9.4760000000000009</v>
      </c>
      <c r="C17" s="2">
        <f>Integrated_Data!J17</f>
        <v>1.5229999999999999</v>
      </c>
      <c r="D17" t="str">
        <f>Integrated_Data!L17</f>
        <v>0-15s Stationary</v>
      </c>
    </row>
    <row r="18" spans="1:4">
      <c r="A18" s="2">
        <f>Integrated_Data!K18</f>
        <v>8.048</v>
      </c>
      <c r="B18" s="2">
        <f>Integrated_Data!H18</f>
        <v>9.4640000000000004</v>
      </c>
      <c r="C18" s="2">
        <f>Integrated_Data!J18</f>
        <v>1.5129999999999999</v>
      </c>
      <c r="D18" t="str">
        <f>Integrated_Data!L18</f>
        <v>0-15s Stationary</v>
      </c>
    </row>
    <row r="19" spans="1:4">
      <c r="A19" s="2">
        <f>Integrated_Data!K19</f>
        <v>8.5510000000000002</v>
      </c>
      <c r="B19" s="2">
        <f>Integrated_Data!H19</f>
        <v>9.3859999999999992</v>
      </c>
      <c r="C19" s="2">
        <f>Integrated_Data!J19</f>
        <v>1.5189999999999999</v>
      </c>
      <c r="D19" t="str">
        <f>Integrated_Data!L19</f>
        <v>0-15s Stationary</v>
      </c>
    </row>
    <row r="20" spans="1:4">
      <c r="A20" s="2">
        <f>Integrated_Data!K20</f>
        <v>9.0540000000000003</v>
      </c>
      <c r="B20" s="2">
        <f>Integrated_Data!H20</f>
        <v>9.3859999999999992</v>
      </c>
      <c r="C20" s="2">
        <f>Integrated_Data!J20</f>
        <v>1.5169999999999999</v>
      </c>
      <c r="D20" t="str">
        <f>Integrated_Data!L20</f>
        <v>0-15s Stationary</v>
      </c>
    </row>
    <row r="21" spans="1:4">
      <c r="A21" s="2">
        <f>Integrated_Data!K21</f>
        <v>9.5570000000000004</v>
      </c>
      <c r="B21" s="2">
        <f>Integrated_Data!H21</f>
        <v>9.4550000000000001</v>
      </c>
      <c r="C21" s="2">
        <f>Integrated_Data!J21</f>
        <v>1.522</v>
      </c>
      <c r="D21" t="str">
        <f>Integrated_Data!L21</f>
        <v>0-15s Stationary</v>
      </c>
    </row>
    <row r="22" spans="1:4">
      <c r="A22" s="2">
        <f>Integrated_Data!K22</f>
        <v>10.06</v>
      </c>
      <c r="B22" s="2">
        <f>Integrated_Data!H22</f>
        <v>9.4719999999999995</v>
      </c>
      <c r="C22" s="2">
        <f>Integrated_Data!J22</f>
        <v>1.514</v>
      </c>
      <c r="D22" t="str">
        <f>Integrated_Data!L22</f>
        <v>0-15s Stationary</v>
      </c>
    </row>
    <row r="23" spans="1:4">
      <c r="A23" s="2">
        <f>Integrated_Data!K23</f>
        <v>10.563000000000001</v>
      </c>
      <c r="B23" s="2">
        <f>Integrated_Data!H23</f>
        <v>9.4499999999999993</v>
      </c>
      <c r="C23" s="2">
        <f>Integrated_Data!J23</f>
        <v>1.5149999999999999</v>
      </c>
      <c r="D23" t="str">
        <f>Integrated_Data!L23</f>
        <v>0-15s Stationary</v>
      </c>
    </row>
    <row r="24" spans="1:4">
      <c r="A24" s="2">
        <f>Integrated_Data!K24</f>
        <v>11.066000000000001</v>
      </c>
      <c r="B24" s="2">
        <f>Integrated_Data!H24</f>
        <v>9.4719999999999995</v>
      </c>
      <c r="C24" s="2">
        <f>Integrated_Data!J24</f>
        <v>1.5209999999999999</v>
      </c>
      <c r="D24" t="str">
        <f>Integrated_Data!L24</f>
        <v>0-15s Stationary</v>
      </c>
    </row>
    <row r="25" spans="1:4">
      <c r="A25" s="2">
        <f>Integrated_Data!K25</f>
        <v>11.569000000000001</v>
      </c>
      <c r="B25" s="2">
        <f>Integrated_Data!H25</f>
        <v>9.4600000000000009</v>
      </c>
      <c r="C25" s="2">
        <f>Integrated_Data!J25</f>
        <v>1.522</v>
      </c>
      <c r="D25" t="str">
        <f>Integrated_Data!L25</f>
        <v>0-15s Stationary</v>
      </c>
    </row>
    <row r="26" spans="1:4">
      <c r="A26" s="2">
        <f>Integrated_Data!K26</f>
        <v>12.071999999999999</v>
      </c>
      <c r="B26" s="2">
        <f>Integrated_Data!H26</f>
        <v>9.4510000000000005</v>
      </c>
      <c r="C26" s="2">
        <f>Integrated_Data!J26</f>
        <v>1.522</v>
      </c>
      <c r="D26" t="str">
        <f>Integrated_Data!L26</f>
        <v>0-15s Stationary</v>
      </c>
    </row>
    <row r="27" spans="1:4">
      <c r="A27" s="2">
        <f>Integrated_Data!K27</f>
        <v>12.574999999999999</v>
      </c>
      <c r="B27" s="2">
        <f>Integrated_Data!H27</f>
        <v>9.4369999999999994</v>
      </c>
      <c r="C27" s="2">
        <f>Integrated_Data!J27</f>
        <v>1.516</v>
      </c>
      <c r="D27" t="str">
        <f>Integrated_Data!L27</f>
        <v>0-15s Stationary</v>
      </c>
    </row>
    <row r="28" spans="1:4">
      <c r="A28" s="2">
        <f>Integrated_Data!K28</f>
        <v>13.077999999999999</v>
      </c>
      <c r="B28" s="2">
        <f>Integrated_Data!H28</f>
        <v>9.48</v>
      </c>
      <c r="C28" s="2">
        <f>Integrated_Data!J28</f>
        <v>1.5189999999999999</v>
      </c>
      <c r="D28" t="str">
        <f>Integrated_Data!L28</f>
        <v>0-15s Stationary</v>
      </c>
    </row>
    <row r="29" spans="1:4">
      <c r="A29" s="2">
        <f>Integrated_Data!K29</f>
        <v>13.581</v>
      </c>
      <c r="B29" s="2">
        <f>Integrated_Data!H29</f>
        <v>9.4489999999999998</v>
      </c>
      <c r="C29" s="2">
        <f>Integrated_Data!J29</f>
        <v>1.5209999999999999</v>
      </c>
      <c r="D29" t="str">
        <f>Integrated_Data!L29</f>
        <v>0-15s Stationary</v>
      </c>
    </row>
    <row r="30" spans="1:4">
      <c r="A30" s="2">
        <f>Integrated_Data!K30</f>
        <v>14.084</v>
      </c>
      <c r="B30" s="2">
        <f>Integrated_Data!H30</f>
        <v>9.4629999999999992</v>
      </c>
      <c r="C30" s="2">
        <f>Integrated_Data!J30</f>
        <v>1.5109999999999999</v>
      </c>
      <c r="D30" t="str">
        <f>Integrated_Data!L30</f>
        <v>0-15s Stationary</v>
      </c>
    </row>
    <row r="31" spans="1:4">
      <c r="A31" s="2">
        <f>Integrated_Data!K31</f>
        <v>14.587</v>
      </c>
      <c r="B31" s="2">
        <f>Integrated_Data!H31</f>
        <v>9.6189999999999998</v>
      </c>
      <c r="C31" s="2">
        <f>Integrated_Data!J31</f>
        <v>1.5249999999999999</v>
      </c>
      <c r="D31" t="str">
        <f>Integrated_Data!L31</f>
        <v>0-15s Stationary</v>
      </c>
    </row>
    <row r="32" spans="1:4">
      <c r="A32" s="2">
        <f>Integrated_Data!K32</f>
        <v>15.09</v>
      </c>
      <c r="B32" s="2">
        <f>Integrated_Data!H32</f>
        <v>9.4120000000000008</v>
      </c>
      <c r="C32" s="2">
        <f>Integrated_Data!J32</f>
        <v>1.5129999999999999</v>
      </c>
      <c r="D32" t="str">
        <f>Integrated_Data!L32</f>
        <v>15-30s Movement</v>
      </c>
    </row>
    <row r="33" spans="1:4">
      <c r="A33" s="2">
        <f>Integrated_Data!K33</f>
        <v>15.593</v>
      </c>
      <c r="B33" s="2">
        <f>Integrated_Data!H33</f>
        <v>8.48</v>
      </c>
      <c r="C33" s="2">
        <f>Integrated_Data!J33</f>
        <v>1.5169999999999999</v>
      </c>
      <c r="D33" t="str">
        <f>Integrated_Data!L33</f>
        <v>15-30s Movement</v>
      </c>
    </row>
    <row r="34" spans="1:4">
      <c r="A34" s="2">
        <f>Integrated_Data!K34</f>
        <v>16.096</v>
      </c>
      <c r="B34" s="2">
        <f>Integrated_Data!H34</f>
        <v>11.805999999999999</v>
      </c>
      <c r="C34" s="2">
        <f>Integrated_Data!J34</f>
        <v>1.5189999999999999</v>
      </c>
      <c r="D34" t="str">
        <f>Integrated_Data!L34</f>
        <v>15-30s Movement</v>
      </c>
    </row>
    <row r="35" spans="1:4">
      <c r="A35" s="2">
        <f>Integrated_Data!K35</f>
        <v>16.599</v>
      </c>
      <c r="B35" s="2">
        <f>Integrated_Data!H35</f>
        <v>7.774</v>
      </c>
      <c r="C35" s="2">
        <f>Integrated_Data!J35</f>
        <v>1.524</v>
      </c>
      <c r="D35" t="str">
        <f>Integrated_Data!L35</f>
        <v>15-30s Movement</v>
      </c>
    </row>
    <row r="36" spans="1:4">
      <c r="A36" s="2">
        <f>Integrated_Data!K36</f>
        <v>17.102</v>
      </c>
      <c r="B36" s="2">
        <f>Integrated_Data!H36</f>
        <v>13.157999999999999</v>
      </c>
      <c r="C36" s="2">
        <f>Integrated_Data!J36</f>
        <v>1.53</v>
      </c>
      <c r="D36" t="str">
        <f>Integrated_Data!L36</f>
        <v>15-30s Movement</v>
      </c>
    </row>
    <row r="37" spans="1:4">
      <c r="A37" s="2">
        <f>Integrated_Data!K37</f>
        <v>17.605</v>
      </c>
      <c r="B37" s="2">
        <f>Integrated_Data!H37</f>
        <v>10.901999999999999</v>
      </c>
      <c r="C37" s="2">
        <f>Integrated_Data!J37</f>
        <v>1.5109999999999999</v>
      </c>
      <c r="D37" t="str">
        <f>Integrated_Data!L37</f>
        <v>15-30s Movement</v>
      </c>
    </row>
    <row r="38" spans="1:4">
      <c r="A38" s="2">
        <f>Integrated_Data!K38</f>
        <v>18.108000000000001</v>
      </c>
      <c r="B38" s="2">
        <f>Integrated_Data!H38</f>
        <v>9.6319999999999997</v>
      </c>
      <c r="C38" s="2">
        <f>Integrated_Data!J38</f>
        <v>1.5209999999999999</v>
      </c>
      <c r="D38" t="str">
        <f>Integrated_Data!L38</f>
        <v>15-30s Movement</v>
      </c>
    </row>
    <row r="39" spans="1:4">
      <c r="A39" s="2">
        <f>Integrated_Data!K39</f>
        <v>18.611000000000001</v>
      </c>
      <c r="B39" s="2">
        <f>Integrated_Data!H39</f>
        <v>10.692</v>
      </c>
      <c r="C39" s="2">
        <f>Integrated_Data!J39</f>
        <v>1.5209999999999999</v>
      </c>
      <c r="D39" t="str">
        <f>Integrated_Data!L39</f>
        <v>15-30s Movement</v>
      </c>
    </row>
    <row r="40" spans="1:4">
      <c r="A40" s="2">
        <f>Integrated_Data!K40</f>
        <v>19.114000000000001</v>
      </c>
      <c r="B40" s="2">
        <f>Integrated_Data!H40</f>
        <v>10.458</v>
      </c>
      <c r="C40" s="2">
        <f>Integrated_Data!J40</f>
        <v>1.5189999999999999</v>
      </c>
      <c r="D40" t="str">
        <f>Integrated_Data!L40</f>
        <v>15-30s Movement</v>
      </c>
    </row>
    <row r="41" spans="1:4">
      <c r="A41" s="2">
        <f>Integrated_Data!K41</f>
        <v>19.617000000000001</v>
      </c>
      <c r="B41" s="2">
        <f>Integrated_Data!H41</f>
        <v>11.206</v>
      </c>
      <c r="C41" s="2">
        <f>Integrated_Data!J41</f>
        <v>1.5209999999999999</v>
      </c>
      <c r="D41" t="str">
        <f>Integrated_Data!L41</f>
        <v>15-30s Movement</v>
      </c>
    </row>
    <row r="42" spans="1:4">
      <c r="A42" s="2">
        <f>Integrated_Data!K42</f>
        <v>20.12</v>
      </c>
      <c r="B42" s="2">
        <f>Integrated_Data!H42</f>
        <v>9.8940000000000001</v>
      </c>
      <c r="C42" s="2">
        <f>Integrated_Data!J42</f>
        <v>1.516</v>
      </c>
      <c r="D42" t="str">
        <f>Integrated_Data!L42</f>
        <v>15-30s Movement</v>
      </c>
    </row>
    <row r="43" spans="1:4">
      <c r="A43" s="2">
        <f>Integrated_Data!K43</f>
        <v>20.623000000000001</v>
      </c>
      <c r="B43" s="2">
        <f>Integrated_Data!H43</f>
        <v>8.0220000000000002</v>
      </c>
      <c r="C43" s="2">
        <f>Integrated_Data!J43</f>
        <v>1.5189999999999999</v>
      </c>
      <c r="D43" t="str">
        <f>Integrated_Data!L43</f>
        <v>15-30s Movement</v>
      </c>
    </row>
    <row r="44" spans="1:4">
      <c r="A44" s="2">
        <f>Integrated_Data!K44</f>
        <v>21.126000000000001</v>
      </c>
      <c r="B44" s="2">
        <f>Integrated_Data!H44</f>
        <v>11.57</v>
      </c>
      <c r="C44" s="2">
        <f>Integrated_Data!J44</f>
        <v>1.516</v>
      </c>
      <c r="D44" t="str">
        <f>Integrated_Data!L44</f>
        <v>15-30s Movement</v>
      </c>
    </row>
    <row r="45" spans="1:4">
      <c r="A45" s="2">
        <f>Integrated_Data!K45</f>
        <v>21.629000000000001</v>
      </c>
      <c r="B45" s="2">
        <f>Integrated_Data!H45</f>
        <v>9.9890000000000008</v>
      </c>
      <c r="C45" s="2">
        <f>Integrated_Data!J45</f>
        <v>1.5209999999999999</v>
      </c>
      <c r="D45" t="str">
        <f>Integrated_Data!L45</f>
        <v>15-30s Movement</v>
      </c>
    </row>
    <row r="46" spans="1:4">
      <c r="A46" s="2">
        <f>Integrated_Data!K46</f>
        <v>22.132000000000001</v>
      </c>
      <c r="B46" s="2">
        <f>Integrated_Data!H46</f>
        <v>10.436</v>
      </c>
      <c r="C46" s="2">
        <f>Integrated_Data!J46</f>
        <v>1.5189999999999999</v>
      </c>
      <c r="D46" t="str">
        <f>Integrated_Data!L46</f>
        <v>15-30s Movement</v>
      </c>
    </row>
    <row r="47" spans="1:4">
      <c r="A47" s="2">
        <f>Integrated_Data!K47</f>
        <v>22.635000000000002</v>
      </c>
      <c r="B47" s="2">
        <f>Integrated_Data!H47</f>
        <v>9.1489999999999991</v>
      </c>
      <c r="C47" s="2">
        <f>Integrated_Data!J47</f>
        <v>1.52</v>
      </c>
      <c r="D47" t="str">
        <f>Integrated_Data!L47</f>
        <v>15-30s Movement</v>
      </c>
    </row>
    <row r="48" spans="1:4">
      <c r="A48" s="2">
        <f>Integrated_Data!K48</f>
        <v>23.138000000000002</v>
      </c>
      <c r="B48" s="2">
        <f>Integrated_Data!H48</f>
        <v>10.018000000000001</v>
      </c>
      <c r="C48" s="2">
        <f>Integrated_Data!J48</f>
        <v>1.5129999999999999</v>
      </c>
      <c r="D48" t="str">
        <f>Integrated_Data!L48</f>
        <v>15-30s Movement</v>
      </c>
    </row>
    <row r="49" spans="1:4">
      <c r="A49" s="2">
        <f>Integrated_Data!K49</f>
        <v>23.640999999999998</v>
      </c>
      <c r="B49" s="2">
        <f>Integrated_Data!H49</f>
        <v>10.875</v>
      </c>
      <c r="C49" s="2">
        <f>Integrated_Data!J49</f>
        <v>1.5109999999999999</v>
      </c>
      <c r="D49" t="str">
        <f>Integrated_Data!L49</f>
        <v>15-30s Movement</v>
      </c>
    </row>
    <row r="50" spans="1:4">
      <c r="A50" s="2">
        <f>Integrated_Data!K50</f>
        <v>24.143999999999998</v>
      </c>
      <c r="B50" s="2">
        <f>Integrated_Data!H50</f>
        <v>10.15</v>
      </c>
      <c r="C50" s="2">
        <f>Integrated_Data!J50</f>
        <v>1.5169999999999999</v>
      </c>
      <c r="D50" t="str">
        <f>Integrated_Data!L50</f>
        <v>15-30s Movement</v>
      </c>
    </row>
    <row r="51" spans="1:4">
      <c r="A51" s="2">
        <f>Integrated_Data!K51</f>
        <v>24.646999999999998</v>
      </c>
      <c r="B51" s="2">
        <f>Integrated_Data!H51</f>
        <v>9.3840000000000003</v>
      </c>
      <c r="C51" s="2">
        <f>Integrated_Data!J51</f>
        <v>1.5229999999999999</v>
      </c>
      <c r="D51" t="str">
        <f>Integrated_Data!L51</f>
        <v>15-30s Movement</v>
      </c>
    </row>
    <row r="52" spans="1:4">
      <c r="A52" s="2">
        <f>Integrated_Data!K52</f>
        <v>25.15</v>
      </c>
      <c r="B52" s="2">
        <f>Integrated_Data!H52</f>
        <v>10.634</v>
      </c>
      <c r="C52" s="2">
        <f>Integrated_Data!J52</f>
        <v>1.52</v>
      </c>
      <c r="D52" t="str">
        <f>Integrated_Data!L52</f>
        <v>15-30s Movement</v>
      </c>
    </row>
    <row r="53" spans="1:4">
      <c r="A53" s="2">
        <f>Integrated_Data!K53</f>
        <v>25.654</v>
      </c>
      <c r="B53" s="2">
        <f>Integrated_Data!H53</f>
        <v>10.154</v>
      </c>
      <c r="C53" s="2">
        <f>Integrated_Data!J53</f>
        <v>1.514</v>
      </c>
      <c r="D53" t="str">
        <f>Integrated_Data!L53</f>
        <v>15-30s Movement</v>
      </c>
    </row>
    <row r="54" spans="1:4">
      <c r="A54" s="2">
        <f>Integrated_Data!K54</f>
        <v>26.157</v>
      </c>
      <c r="B54" s="2">
        <f>Integrated_Data!H54</f>
        <v>9.4350000000000005</v>
      </c>
      <c r="C54" s="2">
        <f>Integrated_Data!J54</f>
        <v>1.5129999999999999</v>
      </c>
      <c r="D54" t="str">
        <f>Integrated_Data!L54</f>
        <v>15-30s Movement</v>
      </c>
    </row>
    <row r="55" spans="1:4">
      <c r="A55" s="2">
        <f>Integrated_Data!K55</f>
        <v>26.66</v>
      </c>
      <c r="B55" s="2">
        <f>Integrated_Data!H55</f>
        <v>13.706</v>
      </c>
      <c r="C55" s="2">
        <f>Integrated_Data!J55</f>
        <v>1.5189999999999999</v>
      </c>
      <c r="D55" t="str">
        <f>Integrated_Data!L55</f>
        <v>15-30s Movement</v>
      </c>
    </row>
    <row r="56" spans="1:4">
      <c r="A56" s="2">
        <f>Integrated_Data!K56</f>
        <v>27.163</v>
      </c>
      <c r="B56" s="2">
        <f>Integrated_Data!H56</f>
        <v>12.066000000000001</v>
      </c>
      <c r="C56" s="2">
        <f>Integrated_Data!J56</f>
        <v>1.5169999999999999</v>
      </c>
      <c r="D56" t="str">
        <f>Integrated_Data!L56</f>
        <v>15-30s Movement</v>
      </c>
    </row>
    <row r="57" spans="1:4">
      <c r="A57" s="2">
        <f>Integrated_Data!K57</f>
        <v>27.666</v>
      </c>
      <c r="B57" s="2">
        <f>Integrated_Data!H57</f>
        <v>12.308</v>
      </c>
      <c r="C57" s="2">
        <f>Integrated_Data!J57</f>
        <v>1.5209999999999999</v>
      </c>
      <c r="D57" t="str">
        <f>Integrated_Data!L57</f>
        <v>15-30s Movement</v>
      </c>
    </row>
    <row r="58" spans="1:4">
      <c r="A58" s="2">
        <f>Integrated_Data!K58</f>
        <v>28.169</v>
      </c>
      <c r="B58" s="2">
        <f>Integrated_Data!H58</f>
        <v>11.433</v>
      </c>
      <c r="C58" s="2">
        <f>Integrated_Data!J58</f>
        <v>1.5169999999999999</v>
      </c>
      <c r="D58" t="str">
        <f>Integrated_Data!L58</f>
        <v>15-30s Movement</v>
      </c>
    </row>
    <row r="59" spans="1:4">
      <c r="A59" s="2">
        <f>Integrated_Data!K59</f>
        <v>28.672000000000001</v>
      </c>
      <c r="B59" s="2">
        <f>Integrated_Data!H59</f>
        <v>10.532999999999999</v>
      </c>
      <c r="C59" s="2">
        <f>Integrated_Data!J59</f>
        <v>1.5169999999999999</v>
      </c>
      <c r="D59" t="str">
        <f>Integrated_Data!L59</f>
        <v>15-30s Movement</v>
      </c>
    </row>
    <row r="60" spans="1:4">
      <c r="A60" s="2">
        <f>Integrated_Data!K60</f>
        <v>29.175000000000001</v>
      </c>
      <c r="B60" s="2">
        <f>Integrated_Data!H60</f>
        <v>9.8759999999999994</v>
      </c>
      <c r="C60" s="2">
        <f>Integrated_Data!J60</f>
        <v>1.5169999999999999</v>
      </c>
      <c r="D60" t="str">
        <f>Integrated_Data!L60</f>
        <v>15-30s Movement</v>
      </c>
    </row>
    <row r="61" spans="1:4">
      <c r="A61" s="2">
        <f>Integrated_Data!K61</f>
        <v>29.678000000000001</v>
      </c>
      <c r="B61" s="2">
        <f>Integrated_Data!H61</f>
        <v>8.875</v>
      </c>
      <c r="C61" s="2">
        <f>Integrated_Data!J61</f>
        <v>1.524</v>
      </c>
      <c r="D61" t="str">
        <f>Integrated_Data!L61</f>
        <v>15-30s Movement</v>
      </c>
    </row>
    <row r="62" spans="1:4">
      <c r="A62" s="2">
        <f>Integrated_Data!K62</f>
        <v>30.181000000000001</v>
      </c>
      <c r="B62" s="2">
        <f>Integrated_Data!H62</f>
        <v>8.6709999999999994</v>
      </c>
      <c r="C62" s="2">
        <f>Integrated_Data!J62</f>
        <v>1.5229999999999999</v>
      </c>
      <c r="D62" t="str">
        <f>Integrated_Data!L62</f>
        <v>30-45s Movement</v>
      </c>
    </row>
    <row r="63" spans="1:4">
      <c r="A63" s="2">
        <f>Integrated_Data!K63</f>
        <v>31.187000000000001</v>
      </c>
      <c r="B63" s="2">
        <f>Integrated_Data!H63</f>
        <v>13.685</v>
      </c>
      <c r="C63" s="2">
        <f>Integrated_Data!J63</f>
        <v>1.5169999999999999</v>
      </c>
      <c r="D63" t="str">
        <f>Integrated_Data!L63</f>
        <v>30-45s Movement</v>
      </c>
    </row>
    <row r="64" spans="1:4">
      <c r="A64" s="2">
        <f>Integrated_Data!K64</f>
        <v>31.69</v>
      </c>
      <c r="B64" s="2">
        <f>Integrated_Data!H64</f>
        <v>15.619</v>
      </c>
      <c r="C64" s="2">
        <f>Integrated_Data!J64</f>
        <v>1.508</v>
      </c>
      <c r="D64" t="str">
        <f>Integrated_Data!L64</f>
        <v>30-45s Movement</v>
      </c>
    </row>
    <row r="65" spans="1:4">
      <c r="A65" s="2">
        <f>Integrated_Data!K65</f>
        <v>32.192999999999998</v>
      </c>
      <c r="B65" s="2">
        <f>Integrated_Data!H65</f>
        <v>7.5259999999999998</v>
      </c>
      <c r="C65" s="2">
        <f>Integrated_Data!J65</f>
        <v>1.52</v>
      </c>
      <c r="D65" t="str">
        <f>Integrated_Data!L65</f>
        <v>30-45s Movement</v>
      </c>
    </row>
    <row r="66" spans="1:4">
      <c r="A66" s="2">
        <f>Integrated_Data!K66</f>
        <v>32.695999999999998</v>
      </c>
      <c r="B66" s="2">
        <f>Integrated_Data!H66</f>
        <v>5.726</v>
      </c>
      <c r="C66" s="2">
        <f>Integrated_Data!J66</f>
        <v>1.5209999999999999</v>
      </c>
      <c r="D66" t="str">
        <f>Integrated_Data!L66</f>
        <v>30-45s Movement</v>
      </c>
    </row>
    <row r="67" spans="1:4">
      <c r="A67" s="2">
        <f>Integrated_Data!K67</f>
        <v>33.198999999999998</v>
      </c>
      <c r="B67" s="2">
        <f>Integrated_Data!H67</f>
        <v>7.2469999999999999</v>
      </c>
      <c r="C67" s="2">
        <f>Integrated_Data!J67</f>
        <v>1.5229999999999999</v>
      </c>
      <c r="D67" t="str">
        <f>Integrated_Data!L67</f>
        <v>30-45s Movement</v>
      </c>
    </row>
    <row r="68" spans="1:4">
      <c r="A68" s="2">
        <f>Integrated_Data!K68</f>
        <v>33.701999999999998</v>
      </c>
      <c r="B68" s="2">
        <f>Integrated_Data!H68</f>
        <v>8.5779999999999994</v>
      </c>
      <c r="C68" s="2">
        <f>Integrated_Data!J68</f>
        <v>1.5169999999999999</v>
      </c>
      <c r="D68" t="str">
        <f>Integrated_Data!L68</f>
        <v>30-45s Movement</v>
      </c>
    </row>
    <row r="69" spans="1:4">
      <c r="A69" s="2">
        <f>Integrated_Data!K69</f>
        <v>34.204999999999998</v>
      </c>
      <c r="B69" s="2">
        <f>Integrated_Data!H69</f>
        <v>8.2159999999999993</v>
      </c>
      <c r="C69" s="2">
        <f>Integrated_Data!J69</f>
        <v>1.5169999999999999</v>
      </c>
      <c r="D69" t="str">
        <f>Integrated_Data!L69</f>
        <v>30-45s Movement</v>
      </c>
    </row>
    <row r="70" spans="1:4">
      <c r="A70" s="2">
        <f>Integrated_Data!K70</f>
        <v>34.707999999999998</v>
      </c>
      <c r="B70" s="2">
        <f>Integrated_Data!H70</f>
        <v>13.198</v>
      </c>
      <c r="C70" s="2">
        <f>Integrated_Data!J70</f>
        <v>1.5169999999999999</v>
      </c>
      <c r="D70" t="str">
        <f>Integrated_Data!L70</f>
        <v>30-45s Movement</v>
      </c>
    </row>
    <row r="71" spans="1:4">
      <c r="A71" s="2">
        <f>Integrated_Data!K71</f>
        <v>35.210999999999999</v>
      </c>
      <c r="B71" s="2">
        <f>Integrated_Data!H71</f>
        <v>14.276999999999999</v>
      </c>
      <c r="C71" s="2">
        <f>Integrated_Data!J71</f>
        <v>1.5169999999999999</v>
      </c>
      <c r="D71" t="str">
        <f>Integrated_Data!L71</f>
        <v>30-45s Movement</v>
      </c>
    </row>
    <row r="72" spans="1:4">
      <c r="A72" s="2">
        <f>Integrated_Data!K72</f>
        <v>35.713999999999999</v>
      </c>
      <c r="B72" s="2">
        <f>Integrated_Data!H72</f>
        <v>7.1840000000000002</v>
      </c>
      <c r="C72" s="2">
        <f>Integrated_Data!J72</f>
        <v>1.5209999999999999</v>
      </c>
      <c r="D72" t="str">
        <f>Integrated_Data!L72</f>
        <v>30-45s Movement</v>
      </c>
    </row>
    <row r="73" spans="1:4">
      <c r="A73" s="2">
        <f>Integrated_Data!K73</f>
        <v>36.216999999999999</v>
      </c>
      <c r="B73" s="2">
        <f>Integrated_Data!H73</f>
        <v>5.093</v>
      </c>
      <c r="C73" s="2">
        <f>Integrated_Data!J73</f>
        <v>1.5189999999999999</v>
      </c>
      <c r="D73" t="str">
        <f>Integrated_Data!L73</f>
        <v>30-45s Movement</v>
      </c>
    </row>
    <row r="74" spans="1:4">
      <c r="A74" s="2">
        <f>Integrated_Data!K74</f>
        <v>36.72</v>
      </c>
      <c r="B74" s="2">
        <f>Integrated_Data!H74</f>
        <v>8.5920000000000005</v>
      </c>
      <c r="C74" s="2">
        <f>Integrated_Data!J74</f>
        <v>1.5249999999999999</v>
      </c>
      <c r="D74" t="str">
        <f>Integrated_Data!L74</f>
        <v>30-45s Movement</v>
      </c>
    </row>
    <row r="75" spans="1:4">
      <c r="A75" s="2">
        <f>Integrated_Data!K75</f>
        <v>37.222999999999999</v>
      </c>
      <c r="B75" s="2">
        <f>Integrated_Data!H75</f>
        <v>14.319000000000001</v>
      </c>
      <c r="C75" s="2">
        <f>Integrated_Data!J75</f>
        <v>1.5229999999999999</v>
      </c>
      <c r="D75" t="str">
        <f>Integrated_Data!L75</f>
        <v>30-45s Movement</v>
      </c>
    </row>
    <row r="76" spans="1:4">
      <c r="A76" s="2">
        <f>Integrated_Data!K76</f>
        <v>37.725999999999999</v>
      </c>
      <c r="B76" s="2">
        <f>Integrated_Data!H76</f>
        <v>9.01</v>
      </c>
      <c r="C76" s="2">
        <f>Integrated_Data!J76</f>
        <v>1.518</v>
      </c>
      <c r="D76" t="str">
        <f>Integrated_Data!L76</f>
        <v>30-45s Movement</v>
      </c>
    </row>
    <row r="77" spans="1:4">
      <c r="A77" s="2">
        <f>Integrated_Data!K77</f>
        <v>38.228999999999999</v>
      </c>
      <c r="B77" s="2">
        <f>Integrated_Data!H77</f>
        <v>5.6920000000000002</v>
      </c>
      <c r="C77" s="2">
        <f>Integrated_Data!J77</f>
        <v>1.5169999999999999</v>
      </c>
      <c r="D77" t="str">
        <f>Integrated_Data!L77</f>
        <v>30-45s Movement</v>
      </c>
    </row>
    <row r="78" spans="1:4">
      <c r="A78" s="2">
        <f>Integrated_Data!K78</f>
        <v>38.731999999999999</v>
      </c>
      <c r="B78" s="2">
        <f>Integrated_Data!H78</f>
        <v>8.8450000000000006</v>
      </c>
      <c r="C78" s="2">
        <f>Integrated_Data!J78</f>
        <v>1.5229999999999999</v>
      </c>
      <c r="D78" t="str">
        <f>Integrated_Data!L78</f>
        <v>30-45s Movement</v>
      </c>
    </row>
    <row r="79" spans="1:4">
      <c r="A79" s="2">
        <f>Integrated_Data!K79</f>
        <v>39.234999999999999</v>
      </c>
      <c r="B79" s="2">
        <f>Integrated_Data!H79</f>
        <v>11.622</v>
      </c>
      <c r="C79" s="2">
        <f>Integrated_Data!J79</f>
        <v>1.5169999999999999</v>
      </c>
      <c r="D79" t="str">
        <f>Integrated_Data!L79</f>
        <v>30-45s Movement</v>
      </c>
    </row>
    <row r="80" spans="1:4">
      <c r="A80" s="2">
        <f>Integrated_Data!K80</f>
        <v>39.738</v>
      </c>
      <c r="B80" s="2">
        <f>Integrated_Data!H80</f>
        <v>12.975</v>
      </c>
      <c r="C80" s="2">
        <f>Integrated_Data!J80</f>
        <v>1.5169999999999999</v>
      </c>
      <c r="D80" t="str">
        <f>Integrated_Data!L80</f>
        <v>30-45s Movement</v>
      </c>
    </row>
    <row r="81" spans="1:4">
      <c r="A81" s="2">
        <f>Integrated_Data!K81</f>
        <v>40.241</v>
      </c>
      <c r="B81" s="2">
        <f>Integrated_Data!H81</f>
        <v>13.157999999999999</v>
      </c>
      <c r="C81" s="2">
        <f>Integrated_Data!J81</f>
        <v>1.5209999999999999</v>
      </c>
      <c r="D81" t="str">
        <f>Integrated_Data!L81</f>
        <v>30-45s Movement</v>
      </c>
    </row>
    <row r="82" spans="1:4">
      <c r="A82" s="2">
        <f>Integrated_Data!K82</f>
        <v>40.744</v>
      </c>
      <c r="B82" s="2">
        <f>Integrated_Data!H82</f>
        <v>10.811</v>
      </c>
      <c r="C82" s="2">
        <f>Integrated_Data!J82</f>
        <v>1.52</v>
      </c>
      <c r="D82" t="str">
        <f>Integrated_Data!L82</f>
        <v>30-45s Movement</v>
      </c>
    </row>
    <row r="83" spans="1:4">
      <c r="A83" s="2">
        <f>Integrated_Data!K83</f>
        <v>41.247</v>
      </c>
      <c r="B83" s="2">
        <f>Integrated_Data!H83</f>
        <v>7.069</v>
      </c>
      <c r="C83" s="2">
        <f>Integrated_Data!J83</f>
        <v>1.5209999999999999</v>
      </c>
      <c r="D83" t="str">
        <f>Integrated_Data!L83</f>
        <v>30-45s Movement</v>
      </c>
    </row>
    <row r="84" spans="1:4">
      <c r="A84" s="2">
        <f>Integrated_Data!K84</f>
        <v>41.75</v>
      </c>
      <c r="B84" s="2">
        <f>Integrated_Data!H84</f>
        <v>6.9130000000000003</v>
      </c>
      <c r="C84" s="2">
        <f>Integrated_Data!J84</f>
        <v>1.5189999999999999</v>
      </c>
      <c r="D84" t="str">
        <f>Integrated_Data!L84</f>
        <v>30-45s Movement</v>
      </c>
    </row>
    <row r="85" spans="1:4">
      <c r="A85" s="2">
        <f>Integrated_Data!K85</f>
        <v>42.253</v>
      </c>
      <c r="B85" s="2">
        <f>Integrated_Data!H85</f>
        <v>5.6509999999999998</v>
      </c>
      <c r="C85" s="2">
        <f>Integrated_Data!J85</f>
        <v>1.524</v>
      </c>
      <c r="D85" t="str">
        <f>Integrated_Data!L85</f>
        <v>30-45s Movement</v>
      </c>
    </row>
    <row r="86" spans="1:4">
      <c r="A86" s="2">
        <f>Integrated_Data!K86</f>
        <v>42.756</v>
      </c>
      <c r="B86" s="2">
        <f>Integrated_Data!H86</f>
        <v>9.3049999999999997</v>
      </c>
      <c r="C86" s="2">
        <f>Integrated_Data!J86</f>
        <v>1.5189999999999999</v>
      </c>
      <c r="D86" t="str">
        <f>Integrated_Data!L86</f>
        <v>30-45s Movement</v>
      </c>
    </row>
    <row r="87" spans="1:4">
      <c r="A87" s="2">
        <f>Integrated_Data!K87</f>
        <v>43.259</v>
      </c>
      <c r="B87" s="2">
        <f>Integrated_Data!H87</f>
        <v>11.007999999999999</v>
      </c>
      <c r="C87" s="2">
        <f>Integrated_Data!J87</f>
        <v>1.5169999999999999</v>
      </c>
      <c r="D87" t="str">
        <f>Integrated_Data!L87</f>
        <v>30-45s Movement</v>
      </c>
    </row>
    <row r="88" spans="1:4">
      <c r="A88" s="2">
        <f>Integrated_Data!K88</f>
        <v>43.762</v>
      </c>
      <c r="B88" s="2">
        <f>Integrated_Data!H88</f>
        <v>9.4580000000000002</v>
      </c>
      <c r="C88" s="2">
        <f>Integrated_Data!J88</f>
        <v>1.522</v>
      </c>
      <c r="D88" t="str">
        <f>Integrated_Data!L88</f>
        <v>30-45s Movement</v>
      </c>
    </row>
    <row r="89" spans="1:4">
      <c r="A89" s="2">
        <f>Integrated_Data!K89</f>
        <v>44.265000000000001</v>
      </c>
      <c r="B89" s="2">
        <f>Integrated_Data!H89</f>
        <v>5.9080000000000004</v>
      </c>
      <c r="C89" s="2">
        <f>Integrated_Data!J89</f>
        <v>1.5189999999999999</v>
      </c>
      <c r="D89" t="str">
        <f>Integrated_Data!L89</f>
        <v>30-45s Movement</v>
      </c>
    </row>
    <row r="90" spans="1:4">
      <c r="A90" s="2">
        <f>Integrated_Data!K90</f>
        <v>44.768000000000001</v>
      </c>
      <c r="B90" s="2">
        <f>Integrated_Data!H90</f>
        <v>6.3540000000000001</v>
      </c>
      <c r="C90" s="2">
        <f>Integrated_Data!J90</f>
        <v>1.522</v>
      </c>
      <c r="D90" t="str">
        <f>Integrated_Data!L90</f>
        <v>30-45s Movement</v>
      </c>
    </row>
    <row r="91" spans="1:4">
      <c r="A91" s="2">
        <f>Integrated_Data!K91</f>
        <v>45.271000000000001</v>
      </c>
      <c r="B91" s="2">
        <f>Integrated_Data!H91</f>
        <v>6.1959999999999997</v>
      </c>
      <c r="C91" s="2">
        <f>Integrated_Data!J91</f>
        <v>1.5209999999999999</v>
      </c>
      <c r="D91" t="str">
        <f>Integrated_Data!L91</f>
        <v>45-60s Stationary</v>
      </c>
    </row>
    <row r="92" spans="1:4">
      <c r="A92" s="2">
        <f>Integrated_Data!K92</f>
        <v>45.774000000000001</v>
      </c>
      <c r="B92" s="2">
        <f>Integrated_Data!H92</f>
        <v>5.6319999999999997</v>
      </c>
      <c r="C92" s="2">
        <f>Integrated_Data!J92</f>
        <v>1.514</v>
      </c>
      <c r="D92" t="str">
        <f>Integrated_Data!L92</f>
        <v>45-60s Stationary</v>
      </c>
    </row>
    <row r="93" spans="1:4">
      <c r="A93" s="2">
        <f>Integrated_Data!K93</f>
        <v>46.277000000000001</v>
      </c>
      <c r="B93" s="2">
        <f>Integrated_Data!H93</f>
        <v>7.6159999999999997</v>
      </c>
      <c r="C93" s="2">
        <f>Integrated_Data!J93</f>
        <v>1.5169999999999999</v>
      </c>
      <c r="D93" t="str">
        <f>Integrated_Data!L93</f>
        <v>45-60s Stationary</v>
      </c>
    </row>
    <row r="94" spans="1:4">
      <c r="A94" s="2">
        <f>Integrated_Data!K94</f>
        <v>46.78</v>
      </c>
      <c r="B94" s="2">
        <f>Integrated_Data!H94</f>
        <v>8.8480000000000008</v>
      </c>
      <c r="C94" s="2">
        <f>Integrated_Data!J94</f>
        <v>1.5109999999999999</v>
      </c>
      <c r="D94" t="str">
        <f>Integrated_Data!L94</f>
        <v>45-60s Stationary</v>
      </c>
    </row>
    <row r="95" spans="1:4">
      <c r="A95" s="2">
        <f>Integrated_Data!K95</f>
        <v>47.283000000000001</v>
      </c>
      <c r="B95" s="2">
        <f>Integrated_Data!H95</f>
        <v>9.4949999999999992</v>
      </c>
      <c r="C95" s="2">
        <f>Integrated_Data!J95</f>
        <v>1.5209999999999999</v>
      </c>
      <c r="D95" t="str">
        <f>Integrated_Data!L95</f>
        <v>45-60s Stationary</v>
      </c>
    </row>
    <row r="96" spans="1:4">
      <c r="A96" s="2">
        <f>Integrated_Data!K96</f>
        <v>47.786000000000001</v>
      </c>
      <c r="B96" s="2">
        <f>Integrated_Data!H96</f>
        <v>9.4629999999999992</v>
      </c>
      <c r="C96" s="2">
        <f>Integrated_Data!J96</f>
        <v>1.5189999999999999</v>
      </c>
      <c r="D96" t="str">
        <f>Integrated_Data!L96</f>
        <v>45-60s Stationary</v>
      </c>
    </row>
    <row r="97" spans="1:4">
      <c r="A97" s="2">
        <f>Integrated_Data!K97</f>
        <v>48.289000000000001</v>
      </c>
      <c r="B97" s="2">
        <f>Integrated_Data!H97</f>
        <v>9.5</v>
      </c>
      <c r="C97" s="2">
        <f>Integrated_Data!J97</f>
        <v>1.5129999999999999</v>
      </c>
      <c r="D97" t="str">
        <f>Integrated_Data!L97</f>
        <v>45-60s Stationary</v>
      </c>
    </row>
    <row r="98" spans="1:4">
      <c r="A98" s="2">
        <f>Integrated_Data!K98</f>
        <v>48.792000000000002</v>
      </c>
      <c r="B98" s="2">
        <f>Integrated_Data!H98</f>
        <v>9.4849999999999994</v>
      </c>
      <c r="C98" s="2">
        <f>Integrated_Data!J98</f>
        <v>1.516</v>
      </c>
      <c r="D98" t="str">
        <f>Integrated_Data!L98</f>
        <v>45-60s Stationary</v>
      </c>
    </row>
    <row r="99" spans="1:4">
      <c r="A99" s="2">
        <f>Integrated_Data!K99</f>
        <v>49.295000000000002</v>
      </c>
      <c r="B99" s="2">
        <f>Integrated_Data!H99</f>
        <v>9.4730000000000008</v>
      </c>
      <c r="C99" s="2">
        <f>Integrated_Data!J99</f>
        <v>1.5189999999999999</v>
      </c>
      <c r="D99" t="str">
        <f>Integrated_Data!L99</f>
        <v>45-60s Stationary</v>
      </c>
    </row>
    <row r="100" spans="1:4">
      <c r="A100" s="2">
        <f>Integrated_Data!K100</f>
        <v>49.798000000000002</v>
      </c>
      <c r="B100" s="2">
        <f>Integrated_Data!H100</f>
        <v>9.4849999999999994</v>
      </c>
      <c r="C100" s="2">
        <f>Integrated_Data!J100</f>
        <v>1.52</v>
      </c>
      <c r="D100" t="str">
        <f>Integrated_Data!L100</f>
        <v>45-60s Stationary</v>
      </c>
    </row>
    <row r="101" spans="1:4">
      <c r="A101" s="2">
        <f>Integrated_Data!K101</f>
        <v>50.301000000000002</v>
      </c>
      <c r="B101" s="2">
        <f>Integrated_Data!H101</f>
        <v>9.4710000000000001</v>
      </c>
      <c r="C101" s="2">
        <f>Integrated_Data!J101</f>
        <v>1.5169999999999999</v>
      </c>
      <c r="D101" t="str">
        <f>Integrated_Data!L101</f>
        <v>45-60s Stationary</v>
      </c>
    </row>
    <row r="102" spans="1:4">
      <c r="A102" s="2">
        <f>Integrated_Data!K102</f>
        <v>50.804000000000002</v>
      </c>
      <c r="B102" s="2">
        <f>Integrated_Data!H102</f>
        <v>9.4990000000000006</v>
      </c>
      <c r="C102" s="2">
        <f>Integrated_Data!J102</f>
        <v>1.5129999999999999</v>
      </c>
      <c r="D102" t="str">
        <f>Integrated_Data!L102</f>
        <v>45-60s Stationary</v>
      </c>
    </row>
    <row r="103" spans="1:4">
      <c r="A103" s="2">
        <f>Integrated_Data!K103</f>
        <v>51.307000000000002</v>
      </c>
      <c r="B103" s="2">
        <f>Integrated_Data!H103</f>
        <v>9.48</v>
      </c>
      <c r="C103" s="2">
        <f>Integrated_Data!J103</f>
        <v>1.5209999999999999</v>
      </c>
      <c r="D103" t="str">
        <f>Integrated_Data!L103</f>
        <v>45-60s Stationary</v>
      </c>
    </row>
    <row r="104" spans="1:4">
      <c r="A104" s="2">
        <f>Integrated_Data!K104</f>
        <v>51.81</v>
      </c>
      <c r="B104" s="2">
        <f>Integrated_Data!H104</f>
        <v>9.4420000000000002</v>
      </c>
      <c r="C104" s="2">
        <f>Integrated_Data!J104</f>
        <v>1.5169999999999999</v>
      </c>
      <c r="D104" t="str">
        <f>Integrated_Data!L104</f>
        <v>45-60s Stationary</v>
      </c>
    </row>
    <row r="105" spans="1:4">
      <c r="A105" s="2">
        <f>Integrated_Data!K105</f>
        <v>52.313000000000002</v>
      </c>
      <c r="B105" s="2">
        <f>Integrated_Data!H105</f>
        <v>9.4540000000000006</v>
      </c>
      <c r="C105" s="2">
        <f>Integrated_Data!J105</f>
        <v>1.5229999999999999</v>
      </c>
      <c r="D105" t="str">
        <f>Integrated_Data!L105</f>
        <v>45-60s Stationary</v>
      </c>
    </row>
    <row r="106" spans="1:4">
      <c r="A106" s="2">
        <f>Integrated_Data!K106</f>
        <v>52.816000000000003</v>
      </c>
      <c r="B106" s="2">
        <f>Integrated_Data!H106</f>
        <v>9.468</v>
      </c>
      <c r="C106" s="2">
        <f>Integrated_Data!J106</f>
        <v>1.52</v>
      </c>
      <c r="D106" t="str">
        <f>Integrated_Data!L106</f>
        <v>45-60s Stationary</v>
      </c>
    </row>
    <row r="107" spans="1:4">
      <c r="A107" s="2">
        <f>Integrated_Data!K107</f>
        <v>53.319000000000003</v>
      </c>
      <c r="B107" s="2">
        <f>Integrated_Data!H107</f>
        <v>9.4749999999999996</v>
      </c>
      <c r="C107" s="2">
        <f>Integrated_Data!J107</f>
        <v>1.5209999999999999</v>
      </c>
      <c r="D107" t="str">
        <f>Integrated_Data!L107</f>
        <v>45-60s Stationary</v>
      </c>
    </row>
    <row r="108" spans="1:4">
      <c r="A108" s="2">
        <f>Integrated_Data!K108</f>
        <v>53.822000000000003</v>
      </c>
      <c r="B108" s="2">
        <f>Integrated_Data!H108</f>
        <v>9.468</v>
      </c>
      <c r="C108" s="2">
        <f>Integrated_Data!J108</f>
        <v>1.5209999999999999</v>
      </c>
      <c r="D108" t="str">
        <f>Integrated_Data!L108</f>
        <v>45-60s Stationary</v>
      </c>
    </row>
    <row r="109" spans="1:4">
      <c r="A109" s="2">
        <f>Integrated_Data!K109</f>
        <v>54.325000000000003</v>
      </c>
      <c r="B109" s="2">
        <f>Integrated_Data!H109</f>
        <v>9.4809999999999999</v>
      </c>
      <c r="C109" s="2">
        <f>Integrated_Data!J109</f>
        <v>1.514</v>
      </c>
      <c r="D109" t="str">
        <f>Integrated_Data!L109</f>
        <v>45-60s Stationary</v>
      </c>
    </row>
    <row r="110" spans="1:4">
      <c r="A110" s="2">
        <f>Integrated_Data!K110</f>
        <v>54.828000000000003</v>
      </c>
      <c r="B110" s="2">
        <f>Integrated_Data!H110</f>
        <v>9.5139999999999993</v>
      </c>
      <c r="C110" s="2">
        <f>Integrated_Data!J110</f>
        <v>1.524</v>
      </c>
      <c r="D110" t="str">
        <f>Integrated_Data!L110</f>
        <v>45-60s Stationary</v>
      </c>
    </row>
    <row r="111" spans="1:4">
      <c r="A111" s="2">
        <f>Integrated_Data!K111</f>
        <v>55.331000000000003</v>
      </c>
      <c r="B111" s="2">
        <f>Integrated_Data!H111</f>
        <v>9.4540000000000006</v>
      </c>
      <c r="C111" s="2">
        <f>Integrated_Data!J111</f>
        <v>1.5229999999999999</v>
      </c>
      <c r="D111" t="str">
        <f>Integrated_Data!L111</f>
        <v>45-60s Stationary</v>
      </c>
    </row>
    <row r="112" spans="1:4">
      <c r="A112" s="2">
        <f>Integrated_Data!K112</f>
        <v>55.834000000000003</v>
      </c>
      <c r="B112" s="2">
        <f>Integrated_Data!H112</f>
        <v>9.4540000000000006</v>
      </c>
      <c r="C112" s="2">
        <f>Integrated_Data!J112</f>
        <v>1.5109999999999999</v>
      </c>
      <c r="D112" t="str">
        <f>Integrated_Data!L112</f>
        <v>45-60s Stationary</v>
      </c>
    </row>
    <row r="113" spans="1:4">
      <c r="A113" s="2">
        <f>Integrated_Data!K113</f>
        <v>56.337000000000003</v>
      </c>
      <c r="B113" s="2">
        <f>Integrated_Data!H113</f>
        <v>9.4640000000000004</v>
      </c>
      <c r="C113" s="2">
        <f>Integrated_Data!J113</f>
        <v>1.5129999999999999</v>
      </c>
      <c r="D113" t="str">
        <f>Integrated_Data!L113</f>
        <v>45-60s Stationary</v>
      </c>
    </row>
    <row r="114" spans="1:4">
      <c r="A114" s="2">
        <f>Integrated_Data!K114</f>
        <v>56.84</v>
      </c>
      <c r="B114" s="2">
        <f>Integrated_Data!H114</f>
        <v>9.4589999999999996</v>
      </c>
      <c r="C114" s="2">
        <f>Integrated_Data!J114</f>
        <v>1.518</v>
      </c>
      <c r="D114" t="str">
        <f>Integrated_Data!L114</f>
        <v>45-60s Stationary</v>
      </c>
    </row>
    <row r="115" spans="1:4">
      <c r="A115" s="2">
        <f>Integrated_Data!K115</f>
        <v>57.343000000000004</v>
      </c>
      <c r="B115" s="2">
        <f>Integrated_Data!H115</f>
        <v>9.4730000000000008</v>
      </c>
      <c r="C115" s="2">
        <f>Integrated_Data!J115</f>
        <v>1.5129999999999999</v>
      </c>
      <c r="D115" t="str">
        <f>Integrated_Data!L115</f>
        <v>45-60s Stationary</v>
      </c>
    </row>
    <row r="116" spans="1:4">
      <c r="A116" s="2">
        <f>Integrated_Data!K116</f>
        <v>57.845999999999997</v>
      </c>
      <c r="B116" s="2">
        <f>Integrated_Data!H116</f>
        <v>9.4329999999999998</v>
      </c>
      <c r="C116" s="2">
        <f>Integrated_Data!J116</f>
        <v>1.5169999999999999</v>
      </c>
      <c r="D116" t="str">
        <f>Integrated_Data!L116</f>
        <v>45-60s Stationary</v>
      </c>
    </row>
    <row r="117" spans="1:4">
      <c r="A117" s="2">
        <f>Integrated_Data!K117</f>
        <v>58.348999999999997</v>
      </c>
      <c r="B117" s="2">
        <f>Integrated_Data!H117</f>
        <v>9.4760000000000009</v>
      </c>
      <c r="C117" s="2">
        <f>Integrated_Data!J117</f>
        <v>1.5169999999999999</v>
      </c>
      <c r="D117" t="str">
        <f>Integrated_Data!L117</f>
        <v>45-60s Stationary</v>
      </c>
    </row>
    <row r="118" spans="1:4">
      <c r="A118" s="2">
        <f>Integrated_Data!K118</f>
        <v>58.851999999999997</v>
      </c>
      <c r="B118" s="2">
        <f>Integrated_Data!H118</f>
        <v>9.4689999999999994</v>
      </c>
      <c r="C118" s="2">
        <f>Integrated_Data!J118</f>
        <v>1.5189999999999999</v>
      </c>
      <c r="D118" t="str">
        <f>Integrated_Data!L118</f>
        <v>45-60s Stationary</v>
      </c>
    </row>
    <row r="119" spans="1:4">
      <c r="A119" s="2">
        <f>Integrated_Data!K119</f>
        <v>59.354999999999997</v>
      </c>
      <c r="B119" s="2">
        <f>Integrated_Data!H119</f>
        <v>9.4730000000000008</v>
      </c>
      <c r="C119" s="2">
        <f>Integrated_Data!J119</f>
        <v>1.5169999999999999</v>
      </c>
      <c r="D119" t="str">
        <f>Integrated_Data!L119</f>
        <v>45-60s Stationary</v>
      </c>
    </row>
    <row r="120" spans="1:4">
      <c r="A120" s="2">
        <f>Integrated_Data!K120</f>
        <v>59.857999999999997</v>
      </c>
      <c r="B120" s="2">
        <f>Integrated_Data!H120</f>
        <v>9.5020000000000007</v>
      </c>
      <c r="C120" s="2">
        <f>Integrated_Data!J120</f>
        <v>1.514</v>
      </c>
      <c r="D120" t="str">
        <f>Integrated_Data!L120</f>
        <v>45-60s Stationary</v>
      </c>
    </row>
    <row r="121" spans="1:4">
      <c r="A121" s="2">
        <f>Integrated_Data!K121</f>
        <v>60.360999999999997</v>
      </c>
      <c r="B121" s="2">
        <f>Integrated_Data!H121</f>
        <v>9.4610000000000003</v>
      </c>
      <c r="C121" s="2">
        <f>Integrated_Data!J121</f>
        <v>1.516</v>
      </c>
      <c r="D121" t="str">
        <f>Integrated_Data!L121</f>
        <v>45-60s Stationary</v>
      </c>
    </row>
    <row r="122" spans="1:4">
      <c r="A122" s="2">
        <f>Integrated_Data!K122</f>
        <v>60.863999999999997</v>
      </c>
      <c r="B122" s="2">
        <f>Integrated_Data!H122</f>
        <v>9.4920000000000009</v>
      </c>
      <c r="C122" s="2">
        <f>Integrated_Data!J122</f>
        <v>1.522</v>
      </c>
      <c r="D122" t="str">
        <f>Integrated_Data!L122</f>
        <v>45-60s Stationary</v>
      </c>
    </row>
    <row r="123" spans="1:4">
      <c r="A123" s="2">
        <f>Integrated_Data!K123</f>
        <v>61.366999999999997</v>
      </c>
      <c r="B123" s="2">
        <f>Integrated_Data!H123</f>
        <v>9.4540000000000006</v>
      </c>
      <c r="C123" s="2">
        <f>Integrated_Data!J123</f>
        <v>1.5209999999999999</v>
      </c>
      <c r="D123" t="str">
        <f>Integrated_Data!L123</f>
        <v>45-60s Stationary</v>
      </c>
    </row>
    <row r="124" spans="1:4">
      <c r="A124" s="2">
        <f>Integrated_Data!K124</f>
        <v>61.87</v>
      </c>
      <c r="B124" s="2">
        <f>Integrated_Data!H124</f>
        <v>9.49</v>
      </c>
      <c r="C124" s="2">
        <f>Integrated_Data!J124</f>
        <v>1.5249999999999999</v>
      </c>
      <c r="D124" t="str">
        <f>Integrated_Data!L124</f>
        <v>45-60s Stationary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Integrated_Data</vt:lpstr>
      <vt:lpstr>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annie ma</cp:lastModifiedBy>
  <dcterms:modified xsi:type="dcterms:W3CDTF">2026-06-11T11:26:17Z</dcterms:modified>
</cp:coreProperties>
</file>