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uaweiMoveData\Users\kenny\Desktop\drone-telemetry-sensor-monitoring\data\"/>
    </mc:Choice>
  </mc:AlternateContent>
  <xr:revisionPtr revIDLastSave="0" documentId="13_ncr:1_{698A5E67-E042-4151-A3A6-702AE2051F2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ummary" sheetId="1" r:id="rId1"/>
    <sheet name="All_Data" sheetId="2" r:id="rId2"/>
    <sheet name="Run1_initial_reading" sheetId="3" r:id="rId3"/>
    <sheet name="Run2_three_phase_short" sheetId="4" r:id="rId4"/>
    <sheet name="Run3_15s_monitor" sheetId="5" r:id="rId5"/>
  </sheets>
  <calcPr calcId="0"/>
</workbook>
</file>

<file path=xl/sharedStrings.xml><?xml version="1.0" encoding="utf-8"?>
<sst xmlns="http://schemas.openxmlformats.org/spreadsheetml/2006/main" count="125" uniqueCount="38">
  <si>
    <t>INA240 ESP32 Current Sensor Test Summary</t>
  </si>
  <si>
    <t>Project</t>
  </si>
  <si>
    <t>Drone telemetry / current monitoring prototype</t>
  </si>
  <si>
    <t>Sensor</t>
  </si>
  <si>
    <t>INA240 analog current sensor</t>
  </si>
  <si>
    <t>Microcontroller</t>
  </si>
  <si>
    <t>ESP32</t>
  </si>
  <si>
    <t>Connection</t>
  </si>
  <si>
    <t>INA240 VCC→ESP32 3V3; GND→GND; OUT→GPIO34</t>
  </si>
  <si>
    <t>Load</t>
  </si>
  <si>
    <t>4×AA battery holder + resistor + LED load circuit</t>
  </si>
  <si>
    <t>Safety note</t>
  </si>
  <si>
    <t>Earlier incorrect breadboard connection caused wire heating; circuit was disconnected and rebuilt.</t>
  </si>
  <si>
    <t>Dataset</t>
  </si>
  <si>
    <t>Samples</t>
  </si>
  <si>
    <t>Duration_s</t>
  </si>
  <si>
    <t>Min_V</t>
  </si>
  <si>
    <t>Max_V</t>
  </si>
  <si>
    <t>Range_mV</t>
  </si>
  <si>
    <t>Average_V</t>
  </si>
  <si>
    <t>Min_ADC</t>
  </si>
  <si>
    <t>Max_ADC</t>
  </si>
  <si>
    <t>Run1_initial_reading</t>
  </si>
  <si>
    <t>Run2_three_phase_short</t>
  </si>
  <si>
    <t>Run3_15s_monitor</t>
  </si>
  <si>
    <t>Interpretation</t>
  </si>
  <si>
    <t>The INA240 OUT signal was successfully read by ESP32 GPIO34.</t>
  </si>
  <si>
    <t>The voltage values are clustered around approximately 1.51–1.53 V, indicating stable analog acquisition.</t>
  </si>
  <si>
    <t>Because the LED-resistor load current is small, the voltage change is limited; this dataset should be described as analog output monitoring, not calibrated current measurement.</t>
  </si>
  <si>
    <t>Next step: use a controlled load and identify INA240 gain/shunt details before calculating accurate current in amperes.</t>
  </si>
  <si>
    <t>dataset</t>
  </si>
  <si>
    <t>sample</t>
  </si>
  <si>
    <t>time_ms</t>
  </si>
  <si>
    <t>time_s</t>
  </si>
  <si>
    <t>adc_raw</t>
  </si>
  <si>
    <t>out_voltage_V</t>
  </si>
  <si>
    <t>notes</t>
  </si>
  <si>
    <t>INA240 OUT read by ESP32 GPIO34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</si>
</sst>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0F2F1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1" fillId="2" borderId="0" xfId="1" applyFont="1" applyFill="1" applyAlignment="1">
      <alignment horizontal="center"/>
    </xf>
    <xf numFmtId="176" fontId="1" fillId="2" borderId="0" xfId="1" applyNumberFormat="1" applyFont="1" applyFill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176" fontId="1" fillId="2" borderId="2" xfId="1" applyNumberFormat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0" fillId="0" borderId="9" xfId="1" applyFont="1" applyBorder="1"/>
    <xf numFmtId="0" fontId="3" fillId="4" borderId="0" xfId="1" applyFont="1" applyFill="1"/>
    <xf numFmtId="0" fontId="0" fillId="0" borderId="1" xfId="1" applyFont="1" applyBorder="1"/>
    <xf numFmtId="176" fontId="0" fillId="0" borderId="2" xfId="1" applyNumberFormat="1" applyFont="1" applyBorder="1"/>
    <xf numFmtId="176" fontId="0" fillId="0" borderId="5" xfId="1" applyNumberFormat="1" applyFont="1" applyBorder="1"/>
    <xf numFmtId="176" fontId="0" fillId="0" borderId="8" xfId="1" applyNumberFormat="1" applyFont="1" applyBorder="1"/>
    <xf numFmtId="1" fontId="0" fillId="0" borderId="2" xfId="1" applyNumberFormat="1" applyFont="1" applyBorder="1"/>
    <xf numFmtId="1" fontId="0" fillId="0" borderId="5" xfId="1" applyNumberFormat="1" applyFont="1" applyBorder="1"/>
    <xf numFmtId="1" fontId="0" fillId="0" borderId="8" xfId="1" applyNumberFormat="1" applyFont="1" applyBorder="1"/>
    <xf numFmtId="1" fontId="0" fillId="0" borderId="3" xfId="1" applyNumberFormat="1" applyFont="1" applyBorder="1"/>
    <xf numFmtId="1" fontId="0" fillId="0" borderId="6" xfId="1" applyNumberFormat="1" applyFont="1" applyBorder="1"/>
    <xf numFmtId="1" fontId="0" fillId="0" borderId="9" xfId="1" applyNumberFormat="1" applyFont="1" applyBorder="1"/>
    <xf numFmtId="0" fontId="0" fillId="0" borderId="0" xfId="1" applyFont="1" applyAlignment="1">
      <alignment wrapText="1"/>
    </xf>
    <xf numFmtId="0" fontId="3" fillId="5" borderId="0" xfId="1" applyFont="1" applyFill="1" applyAlignment="1">
      <alignment wrapText="1"/>
    </xf>
    <xf numFmtId="0" fontId="3" fillId="5" borderId="0" xfId="1" applyFont="1" applyFill="1"/>
    <xf numFmtId="0" fontId="2" fillId="3" borderId="0" xfId="1" applyFont="1" applyFill="1" applyAlignment="1">
      <alignment horizontal="center" vertical="center"/>
    </xf>
    <xf numFmtId="0" fontId="0" fillId="0" borderId="0" xfId="0"/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All_Data!$F$1</c:f>
              <c:strCache>
                <c:ptCount val="1"/>
                <c:pt idx="0">
                  <c:v>out_voltage_V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All_Data!$D$2:$D$39</c:f>
              <c:numCache>
                <c:formatCode>General</c:formatCode>
                <c:ptCount val="3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</c:numCache>
            </c:numRef>
          </c:xVal>
          <c:yVal>
            <c:numRef>
              <c:f>All_Data!$F$2:$F$39</c:f>
              <c:numCache>
                <c:formatCode>General</c:formatCode>
                <c:ptCount val="38"/>
                <c:pt idx="0">
                  <c:v>1.52</c:v>
                </c:pt>
                <c:pt idx="1">
                  <c:v>1.5169999999999999</c:v>
                </c:pt>
                <c:pt idx="2">
                  <c:v>1.5189999999999999</c:v>
                </c:pt>
                <c:pt idx="3">
                  <c:v>1.52</c:v>
                </c:pt>
                <c:pt idx="4">
                  <c:v>1.5169999999999999</c:v>
                </c:pt>
                <c:pt idx="5">
                  <c:v>1.5169999999999999</c:v>
                </c:pt>
                <c:pt idx="6">
                  <c:v>1.5129999999999999</c:v>
                </c:pt>
                <c:pt idx="7">
                  <c:v>1.516</c:v>
                </c:pt>
                <c:pt idx="8">
                  <c:v>1.5209999999999999</c:v>
                </c:pt>
                <c:pt idx="9">
                  <c:v>1.52</c:v>
                </c:pt>
                <c:pt idx="10">
                  <c:v>1.514</c:v>
                </c:pt>
                <c:pt idx="11">
                  <c:v>1.516</c:v>
                </c:pt>
                <c:pt idx="12">
                  <c:v>1.5189999999999999</c:v>
                </c:pt>
                <c:pt idx="13">
                  <c:v>1.5129999999999999</c:v>
                </c:pt>
                <c:pt idx="14">
                  <c:v>1.5229999999999999</c:v>
                </c:pt>
                <c:pt idx="15">
                  <c:v>1.5169999999999999</c:v>
                </c:pt>
                <c:pt idx="16">
                  <c:v>1.512</c:v>
                </c:pt>
                <c:pt idx="17">
                  <c:v>1.5209999999999999</c:v>
                </c:pt>
                <c:pt idx="18">
                  <c:v>1.5209999999999999</c:v>
                </c:pt>
                <c:pt idx="19">
                  <c:v>1.5209999999999999</c:v>
                </c:pt>
                <c:pt idx="20">
                  <c:v>1.522</c:v>
                </c:pt>
                <c:pt idx="21">
                  <c:v>1.53</c:v>
                </c:pt>
                <c:pt idx="22">
                  <c:v>1.522</c:v>
                </c:pt>
                <c:pt idx="23">
                  <c:v>1.5129999999999999</c:v>
                </c:pt>
                <c:pt idx="24">
                  <c:v>1.524</c:v>
                </c:pt>
                <c:pt idx="25">
                  <c:v>1.5109999999999999</c:v>
                </c:pt>
                <c:pt idx="26">
                  <c:v>1.5169999999999999</c:v>
                </c:pt>
                <c:pt idx="27">
                  <c:v>1.5189999999999999</c:v>
                </c:pt>
                <c:pt idx="28">
                  <c:v>1.5169999999999999</c:v>
                </c:pt>
                <c:pt idx="29">
                  <c:v>1.5169999999999999</c:v>
                </c:pt>
                <c:pt idx="30">
                  <c:v>1.514</c:v>
                </c:pt>
                <c:pt idx="31">
                  <c:v>1.5209999999999999</c:v>
                </c:pt>
                <c:pt idx="32">
                  <c:v>1.5169999999999999</c:v>
                </c:pt>
                <c:pt idx="33">
                  <c:v>1.516</c:v>
                </c:pt>
                <c:pt idx="34">
                  <c:v>1.5169999999999999</c:v>
                </c:pt>
                <c:pt idx="35">
                  <c:v>1.514</c:v>
                </c:pt>
                <c:pt idx="36">
                  <c:v>1.5189999999999999</c:v>
                </c:pt>
                <c:pt idx="37">
                  <c:v>1.5209999999999999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3C-41B6-A033-F653B0CAE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180143"/>
        <c:axId val="929181103"/>
      </c:scatterChart>
      <c:valAx>
        <c:axId val="92918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9181103"/>
        <c:crosses val="autoZero"/>
        <c:crossBetween val="midCat"/>
      </c:valAx>
      <c:valAx>
        <c:axId val="92918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918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Run1_initial_reading!$D$1</c:f>
              <c:strCache>
                <c:ptCount val="1"/>
                <c:pt idx="0">
                  <c:v>out_voltage_V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Run1_initial_reading!$B$2:$B$22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</c:numCache>
            </c:numRef>
          </c:xVal>
          <c:yVal>
            <c:numRef>
              <c:f>Run1_initial_reading!$D$2:$D$22</c:f>
              <c:numCache>
                <c:formatCode>General</c:formatCode>
                <c:ptCount val="21"/>
                <c:pt idx="0">
                  <c:v>1.52</c:v>
                </c:pt>
                <c:pt idx="1">
                  <c:v>1.5169999999999999</c:v>
                </c:pt>
                <c:pt idx="2">
                  <c:v>1.5189999999999999</c:v>
                </c:pt>
                <c:pt idx="3">
                  <c:v>1.52</c:v>
                </c:pt>
                <c:pt idx="4">
                  <c:v>1.5169999999999999</c:v>
                </c:pt>
                <c:pt idx="5">
                  <c:v>1.5169999999999999</c:v>
                </c:pt>
                <c:pt idx="6">
                  <c:v>1.5129999999999999</c:v>
                </c:pt>
                <c:pt idx="7">
                  <c:v>1.516</c:v>
                </c:pt>
                <c:pt idx="8">
                  <c:v>1.5209999999999999</c:v>
                </c:pt>
                <c:pt idx="9">
                  <c:v>1.52</c:v>
                </c:pt>
                <c:pt idx="10">
                  <c:v>1.514</c:v>
                </c:pt>
                <c:pt idx="11">
                  <c:v>1.516</c:v>
                </c:pt>
                <c:pt idx="12">
                  <c:v>1.5189999999999999</c:v>
                </c:pt>
                <c:pt idx="13">
                  <c:v>1.5129999999999999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C8-4C52-AFDA-8A633B2D3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192143"/>
        <c:axId val="929195023"/>
      </c:scatterChart>
      <c:valAx>
        <c:axId val="92919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9195023"/>
        <c:crosses val="autoZero"/>
        <c:crossBetween val="midCat"/>
      </c:valAx>
      <c:valAx>
        <c:axId val="92919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919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Run2_three_phase_short!$D$1</c:f>
              <c:strCache>
                <c:ptCount val="1"/>
                <c:pt idx="0">
                  <c:v>out_voltage_V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Run2_three_phase_short!$B$2:$B$22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Run2_three_phase_short!$D$2:$D$22</c:f>
              <c:numCache>
                <c:formatCode>General</c:formatCode>
                <c:ptCount val="21"/>
                <c:pt idx="0">
                  <c:v>1.5229999999999999</c:v>
                </c:pt>
                <c:pt idx="1">
                  <c:v>1.5169999999999999</c:v>
                </c:pt>
                <c:pt idx="2">
                  <c:v>1.512</c:v>
                </c:pt>
                <c:pt idx="3">
                  <c:v>1.5209999999999999</c:v>
                </c:pt>
                <c:pt idx="4">
                  <c:v>1.5209999999999999</c:v>
                </c:pt>
                <c:pt idx="5">
                  <c:v>1.5209999999999999</c:v>
                </c:pt>
                <c:pt idx="6">
                  <c:v>1.522</c:v>
                </c:pt>
                <c:pt idx="7">
                  <c:v>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70-4E8B-829F-5BF058F53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199823"/>
        <c:axId val="929201743"/>
      </c:scatterChart>
      <c:valAx>
        <c:axId val="92919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9201743"/>
        <c:crosses val="autoZero"/>
        <c:crossBetween val="midCat"/>
      </c:valAx>
      <c:valAx>
        <c:axId val="92920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919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Run3_15s_monitor!$D$1</c:f>
              <c:strCache>
                <c:ptCount val="1"/>
                <c:pt idx="0">
                  <c:v>out_voltage_V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Run3_15s_monitor!$B$2:$B$22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</c:numCache>
            </c:numRef>
          </c:xVal>
          <c:yVal>
            <c:numRef>
              <c:f>Run3_15s_monitor!$D$2:$D$22</c:f>
              <c:numCache>
                <c:formatCode>General</c:formatCode>
                <c:ptCount val="21"/>
                <c:pt idx="0">
                  <c:v>1.522</c:v>
                </c:pt>
                <c:pt idx="1">
                  <c:v>1.5129999999999999</c:v>
                </c:pt>
                <c:pt idx="2">
                  <c:v>1.524</c:v>
                </c:pt>
                <c:pt idx="3">
                  <c:v>1.5109999999999999</c:v>
                </c:pt>
                <c:pt idx="4">
                  <c:v>1.5169999999999999</c:v>
                </c:pt>
                <c:pt idx="5">
                  <c:v>1.5189999999999999</c:v>
                </c:pt>
                <c:pt idx="6">
                  <c:v>1.5169999999999999</c:v>
                </c:pt>
                <c:pt idx="7">
                  <c:v>1.5169999999999999</c:v>
                </c:pt>
                <c:pt idx="8">
                  <c:v>1.514</c:v>
                </c:pt>
                <c:pt idx="9">
                  <c:v>1.5209999999999999</c:v>
                </c:pt>
                <c:pt idx="10">
                  <c:v>1.5169999999999999</c:v>
                </c:pt>
                <c:pt idx="11">
                  <c:v>1.516</c:v>
                </c:pt>
                <c:pt idx="12">
                  <c:v>1.5169999999999999</c:v>
                </c:pt>
                <c:pt idx="13">
                  <c:v>1.514</c:v>
                </c:pt>
                <c:pt idx="14">
                  <c:v>1.5189999999999999</c:v>
                </c:pt>
                <c:pt idx="15">
                  <c:v>1.5209999999999999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7-4D64-8199-4A05CC159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179183"/>
        <c:axId val="929186863"/>
      </c:scatterChart>
      <c:valAx>
        <c:axId val="92917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9186863"/>
        <c:crosses val="autoZero"/>
        <c:crossBetween val="midCat"/>
      </c:valAx>
      <c:valAx>
        <c:axId val="92918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917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309563</xdr:colOff>
      <xdr:row>6</xdr:row>
      <xdr:rowOff>23812</xdr:rowOff>
    </xdr:from>
    <xdr:to>
      <xdr:col>15</xdr:col>
      <xdr:colOff>80963</xdr:colOff>
      <xdr:row>22</xdr:row>
      <xdr:rowOff>23812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B51DFFD-7807-5E87-02E3-17F271E3C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5</xdr:row>
      <xdr:rowOff>71436</xdr:rowOff>
    </xdr:from>
    <xdr:to>
      <xdr:col>11</xdr:col>
      <xdr:colOff>352425</xdr:colOff>
      <xdr:row>21</xdr:row>
      <xdr:rowOff>66674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24A3C7F-4786-17B0-4612-37DE835BF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176212</xdr:colOff>
      <xdr:row>4</xdr:row>
      <xdr:rowOff>152399</xdr:rowOff>
    </xdr:from>
    <xdr:to>
      <xdr:col>11</xdr:col>
      <xdr:colOff>633412</xdr:colOff>
      <xdr:row>20</xdr:row>
      <xdr:rowOff>147637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E8E7C0A-5B01-A45A-58D6-3A11AD169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10</xdr:row>
      <xdr:rowOff>152399</xdr:rowOff>
    </xdr:from>
    <xdr:to>
      <xdr:col>11</xdr:col>
      <xdr:colOff>152400</xdr:colOff>
      <xdr:row>26</xdr:row>
      <xdr:rowOff>147637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2998712-F794-F5F4-E983-7F981A5CB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INA240Data" displayName="AllINA240Data" ref="A1:G39">
  <tableColumns count="7">
    <tableColumn id="1" xr3:uid="{00000000-0010-0000-0000-000001000000}" name="dataset"/>
    <tableColumn id="2" xr3:uid="{00000000-0010-0000-0000-000002000000}" name="sample"/>
    <tableColumn id="3" xr3:uid="{00000000-0010-0000-0000-000003000000}" name="time_ms"/>
    <tableColumn id="4" xr3:uid="{00000000-0010-0000-0000-000004000000}" name="time_s"/>
    <tableColumn id="5" xr3:uid="{00000000-0010-0000-0000-000005000000}" name="adc_raw"/>
    <tableColumn id="6" xr3:uid="{00000000-0010-0000-0000-000006000000}" name="out_voltage_V"/>
    <tableColumn id="7" xr3:uid="{00000000-0010-0000-0000-000007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Run1_initial_reading" displayName="T_Run1_initial_reading" ref="A1:D15">
  <tableColumns count="4">
    <tableColumn id="1" xr3:uid="{00000000-0010-0000-0100-000001000000}" name="time_ms"/>
    <tableColumn id="2" xr3:uid="{00000000-0010-0000-0100-000002000000}" name="time_s"/>
    <tableColumn id="3" xr3:uid="{00000000-0010-0000-0100-000003000000}" name="adc_raw"/>
    <tableColumn id="4" xr3:uid="{00000000-0010-0000-0100-000004000000}" name="out_voltage_V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Run2_three_phase_sho" displayName="T_Run2_three_phase_sho" ref="A1:D9">
  <tableColumns count="4">
    <tableColumn id="1" xr3:uid="{00000000-0010-0000-0200-000001000000}" name="time_ms"/>
    <tableColumn id="2" xr3:uid="{00000000-0010-0000-0200-000002000000}" name="time_s"/>
    <tableColumn id="3" xr3:uid="{00000000-0010-0000-0200-000003000000}" name="adc_raw"/>
    <tableColumn id="4" xr3:uid="{00000000-0010-0000-0200-000004000000}" name="out_voltage_V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Run3_15s_monitor" displayName="T_Run3_15s_monitor" ref="A1:D17">
  <tableColumns count="4">
    <tableColumn id="1" xr3:uid="{00000000-0010-0000-0300-000001000000}" name="time_ms"/>
    <tableColumn id="2" xr3:uid="{00000000-0010-0000-0300-000002000000}" name="time_s"/>
    <tableColumn id="3" xr3:uid="{00000000-0010-0000-0300-000003000000}" name="adc_raw"/>
    <tableColumn id="4" xr3:uid="{00000000-0010-0000-0300-000004000000}" name="out_voltage_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E18" sqref="E18"/>
    </sheetView>
  </sheetViews>
  <sheetFormatPr defaultRowHeight="13.5"/>
  <cols>
    <col min="1" max="1" width="34" customWidth="1"/>
    <col min="2" max="2" width="62" customWidth="1"/>
    <col min="3" max="3" width="8.875" customWidth="1"/>
    <col min="4" max="4" width="5.375" customWidth="1"/>
    <col min="5" max="5" width="5.625" customWidth="1"/>
    <col min="6" max="6" width="8.75" customWidth="1"/>
    <col min="7" max="7" width="8.625" customWidth="1"/>
    <col min="8" max="8" width="7.6875" customWidth="1"/>
    <col min="9" max="9" width="7.9375" customWidth="1"/>
  </cols>
  <sheetData>
    <row r="1" spans="1:9" ht="17.649999999999999">
      <c r="A1" s="27" t="s">
        <v>0</v>
      </c>
      <c r="B1" s="28"/>
      <c r="C1" s="28"/>
      <c r="D1" s="28"/>
      <c r="E1" s="28"/>
      <c r="F1" s="28"/>
      <c r="G1" s="28"/>
      <c r="H1" s="28"/>
      <c r="I1" s="28"/>
    </row>
    <row r="2" spans="1:9" ht="13.9">
      <c r="A2" s="13" t="s">
        <v>1</v>
      </c>
      <c r="B2" t="s">
        <v>2</v>
      </c>
    </row>
    <row r="3" spans="1:9" ht="13.9">
      <c r="A3" s="13" t="s">
        <v>3</v>
      </c>
      <c r="B3" t="s">
        <v>4</v>
      </c>
    </row>
    <row r="4" spans="1:9" ht="13.9">
      <c r="A4" s="13" t="s">
        <v>5</v>
      </c>
      <c r="B4" t="s">
        <v>6</v>
      </c>
    </row>
    <row r="5" spans="1:9" ht="13.9">
      <c r="A5" s="13" t="s">
        <v>7</v>
      </c>
      <c r="B5" t="s">
        <v>8</v>
      </c>
    </row>
    <row r="6" spans="1:9" ht="13.9">
      <c r="A6" s="13" t="s">
        <v>9</v>
      </c>
      <c r="B6" t="s">
        <v>10</v>
      </c>
    </row>
    <row r="7" spans="1:9" ht="13.9">
      <c r="A7" s="13" t="s">
        <v>11</v>
      </c>
      <c r="B7" t="s">
        <v>12</v>
      </c>
    </row>
    <row r="9" spans="1:9" ht="13.9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</row>
    <row r="10" spans="1:9">
      <c r="A10" s="14" t="s">
        <v>22</v>
      </c>
      <c r="B10" s="18">
        <v>14</v>
      </c>
      <c r="C10" s="15">
        <v>6.5</v>
      </c>
      <c r="D10" s="15">
        <v>1.5129999999999999</v>
      </c>
      <c r="E10" s="15">
        <v>1.5209999999999999</v>
      </c>
      <c r="F10" s="15">
        <v>8.0000000000000071</v>
      </c>
      <c r="G10" s="15">
        <v>1.5172857142857143</v>
      </c>
      <c r="H10" s="18">
        <v>1878</v>
      </c>
      <c r="I10" s="21">
        <v>1888</v>
      </c>
    </row>
    <row r="11" spans="1:9">
      <c r="A11" s="7" t="s">
        <v>23</v>
      </c>
      <c r="B11" s="19">
        <v>8</v>
      </c>
      <c r="C11" s="16">
        <v>3.5</v>
      </c>
      <c r="D11" s="16">
        <v>1.512</v>
      </c>
      <c r="E11" s="16">
        <v>1.53</v>
      </c>
      <c r="F11" s="16">
        <v>18.000000000000014</v>
      </c>
      <c r="G11" s="16">
        <v>1.520875</v>
      </c>
      <c r="H11" s="19">
        <v>1876</v>
      </c>
      <c r="I11" s="22">
        <v>1898</v>
      </c>
    </row>
    <row r="12" spans="1:9">
      <c r="A12" s="10" t="s">
        <v>24</v>
      </c>
      <c r="B12" s="20">
        <v>16</v>
      </c>
      <c r="C12" s="17">
        <v>7.5</v>
      </c>
      <c r="D12" s="17">
        <v>1.5109999999999999</v>
      </c>
      <c r="E12" s="17">
        <v>1.524</v>
      </c>
      <c r="F12" s="17">
        <v>13.000000000000123</v>
      </c>
      <c r="G12" s="17">
        <v>1.5174375</v>
      </c>
      <c r="H12" s="20">
        <v>1875</v>
      </c>
      <c r="I12" s="23">
        <v>1891</v>
      </c>
    </row>
    <row r="15" spans="1:9" ht="13.9">
      <c r="A15" s="25" t="s">
        <v>25</v>
      </c>
    </row>
    <row r="16" spans="1:9" ht="27">
      <c r="A16" s="24" t="s">
        <v>26</v>
      </c>
    </row>
    <row r="17" spans="1:1" ht="40.5">
      <c r="A17" s="24" t="s">
        <v>27</v>
      </c>
    </row>
    <row r="18" spans="1:1" ht="67.5">
      <c r="A18" s="24" t="s">
        <v>28</v>
      </c>
    </row>
    <row r="19" spans="1:1" ht="40.5">
      <c r="A19" s="24" t="s">
        <v>29</v>
      </c>
    </row>
  </sheetData>
  <mergeCells count="1">
    <mergeCell ref="A1:I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topLeftCell="D1" workbookViewId="0">
      <selection activeCell="K33" sqref="K33"/>
    </sheetView>
  </sheetViews>
  <sheetFormatPr defaultRowHeight="13.5"/>
  <cols>
    <col min="1" max="1" width="20.3125" customWidth="1"/>
    <col min="2" max="2" width="13.375" customWidth="1"/>
    <col min="3" max="3" width="12.9375" customWidth="1"/>
    <col min="4" max="4" width="11.25" customWidth="1"/>
    <col min="5" max="5" width="17.8125" customWidth="1"/>
    <col min="6" max="6" width="23.1875" customWidth="1"/>
    <col min="7" max="7" width="28.125" customWidth="1"/>
  </cols>
  <sheetData>
    <row r="1" spans="1:7" ht="13.9">
      <c r="A1" s="3" t="s">
        <v>30</v>
      </c>
      <c r="B1" s="4" t="s">
        <v>31</v>
      </c>
      <c r="C1" s="4" t="s">
        <v>32</v>
      </c>
      <c r="D1" s="5" t="s">
        <v>33</v>
      </c>
      <c r="E1" s="4" t="s">
        <v>34</v>
      </c>
      <c r="F1" s="5" t="s">
        <v>35</v>
      </c>
      <c r="G1" s="6" t="s">
        <v>36</v>
      </c>
    </row>
    <row r="2" spans="1:7">
      <c r="A2" s="7" t="s">
        <v>22</v>
      </c>
      <c r="B2" s="8">
        <v>1</v>
      </c>
      <c r="C2" s="8">
        <v>73509</v>
      </c>
      <c r="D2" s="8">
        <v>0</v>
      </c>
      <c r="E2" s="8">
        <v>1886</v>
      </c>
      <c r="F2" s="8">
        <v>1.52</v>
      </c>
      <c r="G2" s="9" t="s">
        <v>37</v>
      </c>
    </row>
    <row r="3" spans="1:7">
      <c r="A3" s="7" t="s">
        <v>22</v>
      </c>
      <c r="B3" s="8">
        <v>2</v>
      </c>
      <c r="C3" s="8">
        <v>74009</v>
      </c>
      <c r="D3" s="8">
        <v>0.5</v>
      </c>
      <c r="E3" s="8">
        <v>1882</v>
      </c>
      <c r="F3" s="8">
        <v>1.5169999999999999</v>
      </c>
      <c r="G3" s="9" t="s">
        <v>37</v>
      </c>
    </row>
    <row r="4" spans="1:7">
      <c r="A4" s="7" t="s">
        <v>22</v>
      </c>
      <c r="B4" s="8">
        <v>3</v>
      </c>
      <c r="C4" s="8">
        <v>74509</v>
      </c>
      <c r="D4" s="8">
        <v>1</v>
      </c>
      <c r="E4" s="8">
        <v>1885</v>
      </c>
      <c r="F4" s="8">
        <v>1.5189999999999999</v>
      </c>
      <c r="G4" s="9" t="s">
        <v>37</v>
      </c>
    </row>
    <row r="5" spans="1:7">
      <c r="A5" s="7" t="s">
        <v>22</v>
      </c>
      <c r="B5" s="8">
        <v>4</v>
      </c>
      <c r="C5" s="8">
        <v>75009</v>
      </c>
      <c r="D5" s="8">
        <v>1.5</v>
      </c>
      <c r="E5" s="8">
        <v>1886</v>
      </c>
      <c r="F5" s="8">
        <v>1.52</v>
      </c>
      <c r="G5" s="9" t="s">
        <v>37</v>
      </c>
    </row>
    <row r="6" spans="1:7">
      <c r="A6" s="7" t="s">
        <v>22</v>
      </c>
      <c r="B6" s="8">
        <v>5</v>
      </c>
      <c r="C6" s="8">
        <v>75509</v>
      </c>
      <c r="D6" s="8">
        <v>2</v>
      </c>
      <c r="E6" s="8">
        <v>1883</v>
      </c>
      <c r="F6" s="8">
        <v>1.5169999999999999</v>
      </c>
      <c r="G6" s="9" t="s">
        <v>37</v>
      </c>
    </row>
    <row r="7" spans="1:7">
      <c r="A7" s="7" t="s">
        <v>22</v>
      </c>
      <c r="B7" s="8">
        <v>6</v>
      </c>
      <c r="C7" s="8">
        <v>76009</v>
      </c>
      <c r="D7" s="8">
        <v>2.5</v>
      </c>
      <c r="E7" s="8">
        <v>1883</v>
      </c>
      <c r="F7" s="8">
        <v>1.5169999999999999</v>
      </c>
      <c r="G7" s="9" t="s">
        <v>37</v>
      </c>
    </row>
    <row r="8" spans="1:7">
      <c r="A8" s="7" t="s">
        <v>22</v>
      </c>
      <c r="B8" s="8">
        <v>7</v>
      </c>
      <c r="C8" s="8">
        <v>76509</v>
      </c>
      <c r="D8" s="8">
        <v>3</v>
      </c>
      <c r="E8" s="8">
        <v>1878</v>
      </c>
      <c r="F8" s="8">
        <v>1.5129999999999999</v>
      </c>
      <c r="G8" s="9" t="s">
        <v>37</v>
      </c>
    </row>
    <row r="9" spans="1:7">
      <c r="A9" s="7" t="s">
        <v>22</v>
      </c>
      <c r="B9" s="8">
        <v>8</v>
      </c>
      <c r="C9" s="8">
        <v>77009</v>
      </c>
      <c r="D9" s="8">
        <v>3.5</v>
      </c>
      <c r="E9" s="8">
        <v>1881</v>
      </c>
      <c r="F9" s="8">
        <v>1.516</v>
      </c>
      <c r="G9" s="9" t="s">
        <v>37</v>
      </c>
    </row>
    <row r="10" spans="1:7">
      <c r="A10" s="7" t="s">
        <v>22</v>
      </c>
      <c r="B10" s="8">
        <v>9</v>
      </c>
      <c r="C10" s="8">
        <v>77509</v>
      </c>
      <c r="D10" s="8">
        <v>4</v>
      </c>
      <c r="E10" s="8">
        <v>1888</v>
      </c>
      <c r="F10" s="8">
        <v>1.5209999999999999</v>
      </c>
      <c r="G10" s="9" t="s">
        <v>37</v>
      </c>
    </row>
    <row r="11" spans="1:7">
      <c r="A11" s="7" t="s">
        <v>22</v>
      </c>
      <c r="B11" s="8">
        <v>10</v>
      </c>
      <c r="C11" s="8">
        <v>78009</v>
      </c>
      <c r="D11" s="8">
        <v>4.5</v>
      </c>
      <c r="E11" s="8">
        <v>1886</v>
      </c>
      <c r="F11" s="8">
        <v>1.52</v>
      </c>
      <c r="G11" s="9" t="s">
        <v>37</v>
      </c>
    </row>
    <row r="12" spans="1:7">
      <c r="A12" s="7" t="s">
        <v>22</v>
      </c>
      <c r="B12" s="8">
        <v>11</v>
      </c>
      <c r="C12" s="8">
        <v>78509</v>
      </c>
      <c r="D12" s="8">
        <v>5</v>
      </c>
      <c r="E12" s="8">
        <v>1879</v>
      </c>
      <c r="F12" s="8">
        <v>1.514</v>
      </c>
      <c r="G12" s="9" t="s">
        <v>37</v>
      </c>
    </row>
    <row r="13" spans="1:7">
      <c r="A13" s="7" t="s">
        <v>22</v>
      </c>
      <c r="B13" s="8">
        <v>12</v>
      </c>
      <c r="C13" s="8">
        <v>79009</v>
      </c>
      <c r="D13" s="8">
        <v>5.5</v>
      </c>
      <c r="E13" s="8">
        <v>1881</v>
      </c>
      <c r="F13" s="8">
        <v>1.516</v>
      </c>
      <c r="G13" s="9" t="s">
        <v>37</v>
      </c>
    </row>
    <row r="14" spans="1:7">
      <c r="A14" s="7" t="s">
        <v>22</v>
      </c>
      <c r="B14" s="8">
        <v>13</v>
      </c>
      <c r="C14" s="8">
        <v>79509</v>
      </c>
      <c r="D14" s="8">
        <v>6</v>
      </c>
      <c r="E14" s="8">
        <v>1885</v>
      </c>
      <c r="F14" s="8">
        <v>1.5189999999999999</v>
      </c>
      <c r="G14" s="9" t="s">
        <v>37</v>
      </c>
    </row>
    <row r="15" spans="1:7">
      <c r="A15" s="7" t="s">
        <v>22</v>
      </c>
      <c r="B15" s="8">
        <v>14</v>
      </c>
      <c r="C15" s="8">
        <v>80009</v>
      </c>
      <c r="D15" s="8">
        <v>6.5</v>
      </c>
      <c r="E15" s="8">
        <v>1878</v>
      </c>
      <c r="F15" s="8">
        <v>1.5129999999999999</v>
      </c>
      <c r="G15" s="9" t="s">
        <v>37</v>
      </c>
    </row>
    <row r="16" spans="1:7">
      <c r="A16" s="7" t="s">
        <v>23</v>
      </c>
      <c r="B16" s="8">
        <v>1</v>
      </c>
      <c r="C16" s="8">
        <v>1009</v>
      </c>
      <c r="D16" s="8">
        <v>7</v>
      </c>
      <c r="E16" s="8">
        <v>1890</v>
      </c>
      <c r="F16" s="8">
        <v>1.5229999999999999</v>
      </c>
      <c r="G16" s="9" t="s">
        <v>37</v>
      </c>
    </row>
    <row r="17" spans="1:7">
      <c r="A17" s="7" t="s">
        <v>23</v>
      </c>
      <c r="B17" s="8">
        <v>2</v>
      </c>
      <c r="C17" s="8">
        <v>1509</v>
      </c>
      <c r="D17" s="8">
        <v>7.5</v>
      </c>
      <c r="E17" s="8">
        <v>1883</v>
      </c>
      <c r="F17" s="8">
        <v>1.5169999999999999</v>
      </c>
      <c r="G17" s="9" t="s">
        <v>37</v>
      </c>
    </row>
    <row r="18" spans="1:7">
      <c r="A18" s="7" t="s">
        <v>23</v>
      </c>
      <c r="B18" s="8">
        <v>3</v>
      </c>
      <c r="C18" s="8">
        <v>2009</v>
      </c>
      <c r="D18" s="8">
        <v>8</v>
      </c>
      <c r="E18" s="8">
        <v>1876</v>
      </c>
      <c r="F18" s="8">
        <v>1.512</v>
      </c>
      <c r="G18" s="9" t="s">
        <v>37</v>
      </c>
    </row>
    <row r="19" spans="1:7">
      <c r="A19" s="7" t="s">
        <v>23</v>
      </c>
      <c r="B19" s="8">
        <v>4</v>
      </c>
      <c r="C19" s="8">
        <v>2509</v>
      </c>
      <c r="D19" s="8">
        <v>8.5</v>
      </c>
      <c r="E19" s="8">
        <v>1887</v>
      </c>
      <c r="F19" s="8">
        <v>1.5209999999999999</v>
      </c>
      <c r="G19" s="9" t="s">
        <v>37</v>
      </c>
    </row>
    <row r="20" spans="1:7">
      <c r="A20" s="7" t="s">
        <v>23</v>
      </c>
      <c r="B20" s="8">
        <v>5</v>
      </c>
      <c r="C20" s="8">
        <v>3009</v>
      </c>
      <c r="D20" s="8">
        <v>9</v>
      </c>
      <c r="E20" s="8">
        <v>1887</v>
      </c>
      <c r="F20" s="8">
        <v>1.5209999999999999</v>
      </c>
      <c r="G20" s="9" t="s">
        <v>37</v>
      </c>
    </row>
    <row r="21" spans="1:7">
      <c r="A21" s="7" t="s">
        <v>23</v>
      </c>
      <c r="B21" s="8">
        <v>6</v>
      </c>
      <c r="C21" s="8">
        <v>3509</v>
      </c>
      <c r="D21" s="8">
        <v>9.5</v>
      </c>
      <c r="E21" s="8">
        <v>1888</v>
      </c>
      <c r="F21" s="8">
        <v>1.5209999999999999</v>
      </c>
      <c r="G21" s="9" t="s">
        <v>37</v>
      </c>
    </row>
    <row r="22" spans="1:7">
      <c r="A22" s="7" t="s">
        <v>23</v>
      </c>
      <c r="B22" s="8">
        <v>7</v>
      </c>
      <c r="C22" s="8">
        <v>4009</v>
      </c>
      <c r="D22" s="8">
        <v>10</v>
      </c>
      <c r="E22" s="8">
        <v>1889</v>
      </c>
      <c r="F22" s="8">
        <v>1.522</v>
      </c>
      <c r="G22" s="9" t="s">
        <v>37</v>
      </c>
    </row>
    <row r="23" spans="1:7">
      <c r="A23" s="7" t="s">
        <v>23</v>
      </c>
      <c r="B23" s="8">
        <v>8</v>
      </c>
      <c r="C23" s="8">
        <v>4509</v>
      </c>
      <c r="D23" s="8">
        <v>10.5</v>
      </c>
      <c r="E23" s="8">
        <v>1898</v>
      </c>
      <c r="F23" s="8">
        <v>1.53</v>
      </c>
      <c r="G23" s="9" t="s">
        <v>37</v>
      </c>
    </row>
    <row r="24" spans="1:7">
      <c r="A24" s="7" t="s">
        <v>24</v>
      </c>
      <c r="B24" s="8">
        <v>1</v>
      </c>
      <c r="C24" s="8">
        <v>18009</v>
      </c>
      <c r="D24" s="8">
        <v>11</v>
      </c>
      <c r="E24" s="8">
        <v>1889</v>
      </c>
      <c r="F24" s="8">
        <v>1.522</v>
      </c>
      <c r="G24" s="9" t="s">
        <v>37</v>
      </c>
    </row>
    <row r="25" spans="1:7">
      <c r="A25" s="7" t="s">
        <v>24</v>
      </c>
      <c r="B25" s="8">
        <v>2</v>
      </c>
      <c r="C25" s="8">
        <v>18509</v>
      </c>
      <c r="D25" s="8">
        <v>11.5</v>
      </c>
      <c r="E25" s="8">
        <v>1878</v>
      </c>
      <c r="F25" s="8">
        <v>1.5129999999999999</v>
      </c>
      <c r="G25" s="9" t="s">
        <v>37</v>
      </c>
    </row>
    <row r="26" spans="1:7">
      <c r="A26" s="7" t="s">
        <v>24</v>
      </c>
      <c r="B26" s="8">
        <v>3</v>
      </c>
      <c r="C26" s="8">
        <v>19009</v>
      </c>
      <c r="D26" s="8">
        <v>12</v>
      </c>
      <c r="E26" s="8">
        <v>1891</v>
      </c>
      <c r="F26" s="8">
        <v>1.524</v>
      </c>
      <c r="G26" s="9" t="s">
        <v>37</v>
      </c>
    </row>
    <row r="27" spans="1:7">
      <c r="A27" s="7" t="s">
        <v>24</v>
      </c>
      <c r="B27" s="8">
        <v>4</v>
      </c>
      <c r="C27" s="8">
        <v>19509</v>
      </c>
      <c r="D27" s="8">
        <v>12.5</v>
      </c>
      <c r="E27" s="8">
        <v>1875</v>
      </c>
      <c r="F27" s="8">
        <v>1.5109999999999999</v>
      </c>
      <c r="G27" s="9" t="s">
        <v>37</v>
      </c>
    </row>
    <row r="28" spans="1:7">
      <c r="A28" s="7" t="s">
        <v>24</v>
      </c>
      <c r="B28" s="8">
        <v>5</v>
      </c>
      <c r="C28" s="8">
        <v>20009</v>
      </c>
      <c r="D28" s="8">
        <v>13</v>
      </c>
      <c r="E28" s="8">
        <v>1883</v>
      </c>
      <c r="F28" s="8">
        <v>1.5169999999999999</v>
      </c>
      <c r="G28" s="9" t="s">
        <v>37</v>
      </c>
    </row>
    <row r="29" spans="1:7">
      <c r="A29" s="7" t="s">
        <v>24</v>
      </c>
      <c r="B29" s="8">
        <v>6</v>
      </c>
      <c r="C29" s="8">
        <v>20509</v>
      </c>
      <c r="D29" s="8">
        <v>13.5</v>
      </c>
      <c r="E29" s="8">
        <v>1885</v>
      </c>
      <c r="F29" s="8">
        <v>1.5189999999999999</v>
      </c>
      <c r="G29" s="9" t="s">
        <v>37</v>
      </c>
    </row>
    <row r="30" spans="1:7">
      <c r="A30" s="7" t="s">
        <v>24</v>
      </c>
      <c r="B30" s="8">
        <v>7</v>
      </c>
      <c r="C30" s="8">
        <v>21009</v>
      </c>
      <c r="D30" s="8">
        <v>14</v>
      </c>
      <c r="E30" s="8">
        <v>1882</v>
      </c>
      <c r="F30" s="8">
        <v>1.5169999999999999</v>
      </c>
      <c r="G30" s="9" t="s">
        <v>37</v>
      </c>
    </row>
    <row r="31" spans="1:7">
      <c r="A31" s="7" t="s">
        <v>24</v>
      </c>
      <c r="B31" s="8">
        <v>8</v>
      </c>
      <c r="C31" s="8">
        <v>21509</v>
      </c>
      <c r="D31" s="8">
        <v>14.5</v>
      </c>
      <c r="E31" s="8">
        <v>1883</v>
      </c>
      <c r="F31" s="8">
        <v>1.5169999999999999</v>
      </c>
      <c r="G31" s="9" t="s">
        <v>37</v>
      </c>
    </row>
    <row r="32" spans="1:7">
      <c r="A32" s="7" t="s">
        <v>24</v>
      </c>
      <c r="B32" s="8">
        <v>9</v>
      </c>
      <c r="C32" s="8">
        <v>22009</v>
      </c>
      <c r="D32" s="8">
        <v>15</v>
      </c>
      <c r="E32" s="8">
        <v>1879</v>
      </c>
      <c r="F32" s="8">
        <v>1.514</v>
      </c>
      <c r="G32" s="9" t="s">
        <v>37</v>
      </c>
    </row>
    <row r="33" spans="1:7">
      <c r="A33" s="7" t="s">
        <v>24</v>
      </c>
      <c r="B33" s="8">
        <v>10</v>
      </c>
      <c r="C33" s="8">
        <v>22509</v>
      </c>
      <c r="D33" s="8">
        <v>15.5</v>
      </c>
      <c r="E33" s="8">
        <v>1887</v>
      </c>
      <c r="F33" s="8">
        <v>1.5209999999999999</v>
      </c>
      <c r="G33" s="9" t="s">
        <v>37</v>
      </c>
    </row>
    <row r="34" spans="1:7">
      <c r="A34" s="7" t="s">
        <v>24</v>
      </c>
      <c r="B34" s="8">
        <v>11</v>
      </c>
      <c r="C34" s="8">
        <v>23009</v>
      </c>
      <c r="D34" s="8">
        <v>16</v>
      </c>
      <c r="E34" s="8">
        <v>1883</v>
      </c>
      <c r="F34" s="8">
        <v>1.5169999999999999</v>
      </c>
      <c r="G34" s="9" t="s">
        <v>37</v>
      </c>
    </row>
    <row r="35" spans="1:7">
      <c r="A35" s="7" t="s">
        <v>24</v>
      </c>
      <c r="B35" s="8">
        <v>12</v>
      </c>
      <c r="C35" s="8">
        <v>23509</v>
      </c>
      <c r="D35" s="8">
        <v>16.5</v>
      </c>
      <c r="E35" s="8">
        <v>1881</v>
      </c>
      <c r="F35" s="8">
        <v>1.516</v>
      </c>
      <c r="G35" s="9" t="s">
        <v>37</v>
      </c>
    </row>
    <row r="36" spans="1:7">
      <c r="A36" s="7" t="s">
        <v>24</v>
      </c>
      <c r="B36" s="8">
        <v>13</v>
      </c>
      <c r="C36" s="8">
        <v>24009</v>
      </c>
      <c r="D36" s="8">
        <v>17</v>
      </c>
      <c r="E36" s="8">
        <v>1883</v>
      </c>
      <c r="F36" s="8">
        <v>1.5169999999999999</v>
      </c>
      <c r="G36" s="9" t="s">
        <v>37</v>
      </c>
    </row>
    <row r="37" spans="1:7">
      <c r="A37" s="7" t="s">
        <v>24</v>
      </c>
      <c r="B37" s="8">
        <v>14</v>
      </c>
      <c r="C37" s="8">
        <v>24509</v>
      </c>
      <c r="D37" s="8">
        <v>17.5</v>
      </c>
      <c r="E37" s="8">
        <v>1879</v>
      </c>
      <c r="F37" s="8">
        <v>1.514</v>
      </c>
      <c r="G37" s="9" t="s">
        <v>37</v>
      </c>
    </row>
    <row r="38" spans="1:7">
      <c r="A38" s="7" t="s">
        <v>24</v>
      </c>
      <c r="B38" s="8">
        <v>15</v>
      </c>
      <c r="C38" s="8">
        <v>25009</v>
      </c>
      <c r="D38" s="8">
        <v>18</v>
      </c>
      <c r="E38" s="8">
        <v>1885</v>
      </c>
      <c r="F38" s="8">
        <v>1.5189999999999999</v>
      </c>
      <c r="G38" s="9" t="s">
        <v>37</v>
      </c>
    </row>
    <row r="39" spans="1:7">
      <c r="A39" s="10" t="s">
        <v>24</v>
      </c>
      <c r="B39" s="11">
        <v>16</v>
      </c>
      <c r="C39" s="11">
        <v>25509</v>
      </c>
      <c r="D39" s="8">
        <v>18.5</v>
      </c>
      <c r="E39" s="11">
        <v>1887</v>
      </c>
      <c r="F39" s="11">
        <v>1.5209999999999999</v>
      </c>
      <c r="G39" s="12" t="s">
        <v>37</v>
      </c>
    </row>
  </sheetData>
  <phoneticPr fontId="5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workbookViewId="0">
      <selection activeCell="H27" sqref="H27"/>
    </sheetView>
  </sheetViews>
  <sheetFormatPr defaultRowHeight="13.5"/>
  <cols>
    <col min="1" max="1" width="10.4375" customWidth="1"/>
    <col min="2" max="2" width="11.125" customWidth="1"/>
    <col min="3" max="3" width="12.5" customWidth="1"/>
    <col min="4" max="4" width="19.875" customWidth="1"/>
  </cols>
  <sheetData>
    <row r="1" spans="1:4" ht="13.9">
      <c r="A1" s="1" t="s">
        <v>32</v>
      </c>
      <c r="B1" s="2" t="s">
        <v>33</v>
      </c>
      <c r="C1" s="1" t="s">
        <v>34</v>
      </c>
      <c r="D1" s="2" t="s">
        <v>35</v>
      </c>
    </row>
    <row r="2" spans="1:4">
      <c r="A2">
        <v>73509</v>
      </c>
      <c r="B2">
        <v>0</v>
      </c>
      <c r="C2">
        <v>1886</v>
      </c>
      <c r="D2">
        <v>1.52</v>
      </c>
    </row>
    <row r="3" spans="1:4">
      <c r="A3">
        <v>74009</v>
      </c>
      <c r="B3">
        <v>0.5</v>
      </c>
      <c r="C3">
        <v>1882</v>
      </c>
      <c r="D3">
        <v>1.5169999999999999</v>
      </c>
    </row>
    <row r="4" spans="1:4">
      <c r="A4">
        <v>74509</v>
      </c>
      <c r="B4">
        <v>1</v>
      </c>
      <c r="C4">
        <v>1885</v>
      </c>
      <c r="D4">
        <v>1.5189999999999999</v>
      </c>
    </row>
    <row r="5" spans="1:4">
      <c r="A5">
        <v>75009</v>
      </c>
      <c r="B5">
        <v>1.5</v>
      </c>
      <c r="C5">
        <v>1886</v>
      </c>
      <c r="D5">
        <v>1.52</v>
      </c>
    </row>
    <row r="6" spans="1:4">
      <c r="A6">
        <v>75509</v>
      </c>
      <c r="B6">
        <v>2</v>
      </c>
      <c r="C6">
        <v>1883</v>
      </c>
      <c r="D6">
        <v>1.5169999999999999</v>
      </c>
    </row>
    <row r="7" spans="1:4">
      <c r="A7">
        <v>76009</v>
      </c>
      <c r="B7">
        <v>2.5</v>
      </c>
      <c r="C7">
        <v>1883</v>
      </c>
      <c r="D7">
        <v>1.5169999999999999</v>
      </c>
    </row>
    <row r="8" spans="1:4">
      <c r="A8">
        <v>76509</v>
      </c>
      <c r="B8">
        <v>3</v>
      </c>
      <c r="C8">
        <v>1878</v>
      </c>
      <c r="D8">
        <v>1.5129999999999999</v>
      </c>
    </row>
    <row r="9" spans="1:4">
      <c r="A9">
        <v>77009</v>
      </c>
      <c r="B9">
        <v>3.5</v>
      </c>
      <c r="C9">
        <v>1881</v>
      </c>
      <c r="D9">
        <v>1.516</v>
      </c>
    </row>
    <row r="10" spans="1:4">
      <c r="A10">
        <v>77509</v>
      </c>
      <c r="B10">
        <v>4</v>
      </c>
      <c r="C10">
        <v>1888</v>
      </c>
      <c r="D10">
        <v>1.5209999999999999</v>
      </c>
    </row>
    <row r="11" spans="1:4">
      <c r="A11">
        <v>78009</v>
      </c>
      <c r="B11">
        <v>4.5</v>
      </c>
      <c r="C11">
        <v>1886</v>
      </c>
      <c r="D11">
        <v>1.52</v>
      </c>
    </row>
    <row r="12" spans="1:4">
      <c r="A12">
        <v>78509</v>
      </c>
      <c r="B12">
        <v>5</v>
      </c>
      <c r="C12">
        <v>1879</v>
      </c>
      <c r="D12">
        <v>1.514</v>
      </c>
    </row>
    <row r="13" spans="1:4">
      <c r="A13">
        <v>79009</v>
      </c>
      <c r="B13">
        <v>5.5</v>
      </c>
      <c r="C13">
        <v>1881</v>
      </c>
      <c r="D13">
        <v>1.516</v>
      </c>
    </row>
    <row r="14" spans="1:4">
      <c r="A14">
        <v>79509</v>
      </c>
      <c r="B14">
        <v>6</v>
      </c>
      <c r="C14">
        <v>1885</v>
      </c>
      <c r="D14">
        <v>1.5189999999999999</v>
      </c>
    </row>
    <row r="15" spans="1:4">
      <c r="A15">
        <v>80009</v>
      </c>
      <c r="B15">
        <v>6.5</v>
      </c>
      <c r="C15">
        <v>1878</v>
      </c>
      <c r="D15">
        <v>1.5129999999999999</v>
      </c>
    </row>
    <row r="20" spans="6:13" ht="13.9">
      <c r="F20" s="26"/>
    </row>
    <row r="21" spans="6:13">
      <c r="F21" s="29"/>
      <c r="G21" s="28"/>
      <c r="H21" s="28"/>
      <c r="I21" s="28"/>
      <c r="J21" s="28"/>
      <c r="K21" s="28"/>
      <c r="L21" s="28"/>
      <c r="M21" s="28"/>
    </row>
    <row r="22" spans="6:13">
      <c r="F22" s="28"/>
      <c r="G22" s="28"/>
      <c r="H22" s="28"/>
      <c r="I22" s="28"/>
      <c r="J22" s="28"/>
      <c r="K22" s="28"/>
      <c r="L22" s="28"/>
      <c r="M22" s="28"/>
    </row>
  </sheetData>
  <mergeCells count="1">
    <mergeCell ref="F21:M22"/>
  </mergeCells>
  <phoneticPr fontId="5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workbookViewId="0">
      <selection activeCell="L27" sqref="L27"/>
    </sheetView>
  </sheetViews>
  <sheetFormatPr defaultRowHeight="13.5"/>
  <cols>
    <col min="1" max="1" width="11.875" customWidth="1"/>
    <col min="2" max="2" width="12.625" customWidth="1"/>
    <col min="3" max="3" width="13.25" customWidth="1"/>
    <col min="4" max="4" width="18.9375" customWidth="1"/>
  </cols>
  <sheetData>
    <row r="1" spans="1:4" ht="13.9">
      <c r="A1" s="1" t="s">
        <v>32</v>
      </c>
      <c r="B1" s="2" t="s">
        <v>33</v>
      </c>
      <c r="C1" s="1" t="s">
        <v>34</v>
      </c>
      <c r="D1" s="2" t="s">
        <v>35</v>
      </c>
    </row>
    <row r="2" spans="1:4">
      <c r="A2">
        <v>1009</v>
      </c>
      <c r="B2">
        <v>0</v>
      </c>
      <c r="C2">
        <v>1890</v>
      </c>
      <c r="D2">
        <v>1.5229999999999999</v>
      </c>
    </row>
    <row r="3" spans="1:4">
      <c r="A3">
        <v>1509</v>
      </c>
      <c r="B3">
        <v>0.5</v>
      </c>
      <c r="C3">
        <v>1883</v>
      </c>
      <c r="D3">
        <v>1.5169999999999999</v>
      </c>
    </row>
    <row r="4" spans="1:4">
      <c r="A4">
        <v>2009</v>
      </c>
      <c r="B4">
        <v>1</v>
      </c>
      <c r="C4">
        <v>1876</v>
      </c>
      <c r="D4">
        <v>1.512</v>
      </c>
    </row>
    <row r="5" spans="1:4">
      <c r="A5">
        <v>2509</v>
      </c>
      <c r="B5">
        <v>1.5</v>
      </c>
      <c r="C5">
        <v>1887</v>
      </c>
      <c r="D5">
        <v>1.5209999999999999</v>
      </c>
    </row>
    <row r="6" spans="1:4">
      <c r="A6">
        <v>3009</v>
      </c>
      <c r="B6">
        <v>2</v>
      </c>
      <c r="C6">
        <v>1887</v>
      </c>
      <c r="D6">
        <v>1.5209999999999999</v>
      </c>
    </row>
    <row r="7" spans="1:4">
      <c r="A7">
        <v>3509</v>
      </c>
      <c r="B7">
        <v>2.5</v>
      </c>
      <c r="C7">
        <v>1888</v>
      </c>
      <c r="D7">
        <v>1.5209999999999999</v>
      </c>
    </row>
    <row r="8" spans="1:4">
      <c r="A8">
        <v>4009</v>
      </c>
      <c r="B8">
        <v>3</v>
      </c>
      <c r="C8">
        <v>1889</v>
      </c>
      <c r="D8">
        <v>1.522</v>
      </c>
    </row>
    <row r="9" spans="1:4">
      <c r="A9">
        <v>4509</v>
      </c>
      <c r="B9">
        <v>3.5</v>
      </c>
      <c r="C9">
        <v>1898</v>
      </c>
      <c r="D9">
        <v>1.53</v>
      </c>
    </row>
    <row r="20" spans="6:13" ht="13.9">
      <c r="F20" s="26"/>
    </row>
    <row r="21" spans="6:13">
      <c r="F21" s="29"/>
      <c r="G21" s="28"/>
      <c r="H21" s="28"/>
      <c r="I21" s="28"/>
      <c r="J21" s="28"/>
      <c r="K21" s="28"/>
      <c r="L21" s="28"/>
      <c r="M21" s="28"/>
    </row>
    <row r="22" spans="6:13">
      <c r="F22" s="28"/>
      <c r="G22" s="28"/>
      <c r="H22" s="28"/>
      <c r="I22" s="28"/>
      <c r="J22" s="28"/>
      <c r="K22" s="28"/>
      <c r="L22" s="28"/>
      <c r="M22" s="28"/>
    </row>
  </sheetData>
  <mergeCells count="1">
    <mergeCell ref="F21:M22"/>
  </mergeCells>
  <phoneticPr fontId="5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"/>
  <sheetViews>
    <sheetView workbookViewId="0">
      <selection activeCell="P26" sqref="P26"/>
    </sheetView>
  </sheetViews>
  <sheetFormatPr defaultRowHeight="13.5"/>
  <cols>
    <col min="1" max="1" width="12.125" customWidth="1"/>
    <col min="2" max="2" width="8.875" customWidth="1"/>
    <col min="3" max="3" width="13.1875" customWidth="1"/>
    <col min="4" max="4" width="16.8125" customWidth="1"/>
  </cols>
  <sheetData>
    <row r="1" spans="1:4" ht="13.9">
      <c r="A1" s="1" t="s">
        <v>32</v>
      </c>
      <c r="B1" s="2" t="s">
        <v>33</v>
      </c>
      <c r="C1" s="1" t="s">
        <v>34</v>
      </c>
      <c r="D1" s="2" t="s">
        <v>35</v>
      </c>
    </row>
    <row r="2" spans="1:4">
      <c r="A2">
        <v>18009</v>
      </c>
      <c r="B2">
        <v>0</v>
      </c>
      <c r="C2">
        <v>1889</v>
      </c>
      <c r="D2">
        <v>1.522</v>
      </c>
    </row>
    <row r="3" spans="1:4">
      <c r="A3">
        <v>18509</v>
      </c>
      <c r="B3">
        <v>0.5</v>
      </c>
      <c r="C3">
        <v>1878</v>
      </c>
      <c r="D3">
        <v>1.5129999999999999</v>
      </c>
    </row>
    <row r="4" spans="1:4">
      <c r="A4">
        <v>19009</v>
      </c>
      <c r="B4">
        <v>1</v>
      </c>
      <c r="C4">
        <v>1891</v>
      </c>
      <c r="D4">
        <v>1.524</v>
      </c>
    </row>
    <row r="5" spans="1:4">
      <c r="A5">
        <v>19509</v>
      </c>
      <c r="B5">
        <v>1.5</v>
      </c>
      <c r="C5">
        <v>1875</v>
      </c>
      <c r="D5">
        <v>1.5109999999999999</v>
      </c>
    </row>
    <row r="6" spans="1:4">
      <c r="A6">
        <v>20009</v>
      </c>
      <c r="B6">
        <v>2</v>
      </c>
      <c r="C6">
        <v>1883</v>
      </c>
      <c r="D6">
        <v>1.5169999999999999</v>
      </c>
    </row>
    <row r="7" spans="1:4">
      <c r="A7">
        <v>20509</v>
      </c>
      <c r="B7">
        <v>2.5</v>
      </c>
      <c r="C7">
        <v>1885</v>
      </c>
      <c r="D7">
        <v>1.5189999999999999</v>
      </c>
    </row>
    <row r="8" spans="1:4">
      <c r="A8">
        <v>21009</v>
      </c>
      <c r="B8">
        <v>3</v>
      </c>
      <c r="C8">
        <v>1882</v>
      </c>
      <c r="D8">
        <v>1.5169999999999999</v>
      </c>
    </row>
    <row r="9" spans="1:4">
      <c r="A9">
        <v>21509</v>
      </c>
      <c r="B9">
        <v>3.5</v>
      </c>
      <c r="C9">
        <v>1883</v>
      </c>
      <c r="D9">
        <v>1.5169999999999999</v>
      </c>
    </row>
    <row r="10" spans="1:4">
      <c r="A10">
        <v>22009</v>
      </c>
      <c r="B10">
        <v>4</v>
      </c>
      <c r="C10">
        <v>1879</v>
      </c>
      <c r="D10">
        <v>1.514</v>
      </c>
    </row>
    <row r="11" spans="1:4">
      <c r="A11">
        <v>22509</v>
      </c>
      <c r="B11">
        <v>4.5</v>
      </c>
      <c r="C11">
        <v>1887</v>
      </c>
      <c r="D11">
        <v>1.5209999999999999</v>
      </c>
    </row>
    <row r="12" spans="1:4">
      <c r="A12">
        <v>23009</v>
      </c>
      <c r="B12">
        <v>5</v>
      </c>
      <c r="C12">
        <v>1883</v>
      </c>
      <c r="D12">
        <v>1.5169999999999999</v>
      </c>
    </row>
    <row r="13" spans="1:4">
      <c r="A13">
        <v>23509</v>
      </c>
      <c r="B13">
        <v>5.5</v>
      </c>
      <c r="C13">
        <v>1881</v>
      </c>
      <c r="D13">
        <v>1.516</v>
      </c>
    </row>
    <row r="14" spans="1:4">
      <c r="A14">
        <v>24009</v>
      </c>
      <c r="B14">
        <v>6</v>
      </c>
      <c r="C14">
        <v>1883</v>
      </c>
      <c r="D14">
        <v>1.5169999999999999</v>
      </c>
    </row>
    <row r="15" spans="1:4">
      <c r="A15">
        <v>24509</v>
      </c>
      <c r="B15">
        <v>6.5</v>
      </c>
      <c r="C15">
        <v>1879</v>
      </c>
      <c r="D15">
        <v>1.514</v>
      </c>
    </row>
    <row r="16" spans="1:4">
      <c r="A16">
        <v>25009</v>
      </c>
      <c r="B16">
        <v>7</v>
      </c>
      <c r="C16">
        <v>1885</v>
      </c>
      <c r="D16">
        <v>1.5189999999999999</v>
      </c>
    </row>
    <row r="17" spans="1:13">
      <c r="A17">
        <v>25509</v>
      </c>
      <c r="B17">
        <v>7.5</v>
      </c>
      <c r="C17">
        <v>1887</v>
      </c>
      <c r="D17">
        <v>1.5209999999999999</v>
      </c>
    </row>
    <row r="20" spans="1:13" ht="13.9">
      <c r="F20" s="26"/>
    </row>
    <row r="21" spans="1:13">
      <c r="F21" s="29"/>
      <c r="G21" s="28"/>
      <c r="H21" s="28"/>
      <c r="I21" s="28"/>
      <c r="J21" s="28"/>
      <c r="K21" s="28"/>
      <c r="L21" s="28"/>
      <c r="M21" s="28"/>
    </row>
    <row r="22" spans="1:13">
      <c r="F22" s="28"/>
      <c r="G22" s="28"/>
      <c r="H22" s="28"/>
      <c r="I22" s="28"/>
      <c r="J22" s="28"/>
      <c r="K22" s="28"/>
      <c r="L22" s="28"/>
      <c r="M22" s="28"/>
    </row>
  </sheetData>
  <mergeCells count="1">
    <mergeCell ref="F21:M22"/>
  </mergeCells>
  <phoneticPr fontId="5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All_Data</vt:lpstr>
      <vt:lpstr>Run1_initial_reading</vt:lpstr>
      <vt:lpstr>Run2_three_phase_short</vt:lpstr>
      <vt:lpstr>Run3_15s_monitor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annie ma</cp:lastModifiedBy>
  <dcterms:modified xsi:type="dcterms:W3CDTF">2026-06-11T11:20:06Z</dcterms:modified>
</cp:coreProperties>
</file>